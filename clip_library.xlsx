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tPlanner" sheetId="1" r:id="rId5"/>
    <sheet state="visible" name="VideoTimeStamps" sheetId="2" r:id="rId6"/>
    <sheet state="visible" name="Master KW" sheetId="3" r:id="rId7"/>
  </sheets>
  <definedNames/>
  <calcPr/>
</workbook>
</file>

<file path=xl/sharedStrings.xml><?xml version="1.0" encoding="utf-8"?>
<sst xmlns="http://schemas.openxmlformats.org/spreadsheetml/2006/main" count="2848" uniqueCount="1895">
  <si>
    <t>Selected</t>
  </si>
  <si>
    <t>Group Name</t>
  </si>
  <si>
    <t>Shot 1</t>
  </si>
  <si>
    <t>Shot 3</t>
  </si>
  <si>
    <t>Shot 4</t>
  </si>
  <si>
    <t>Shot 5</t>
  </si>
  <si>
    <t>Shot 6</t>
  </si>
  <si>
    <t>Shot 7</t>
  </si>
  <si>
    <t>Shot 8</t>
  </si>
  <si>
    <t>Shot 9</t>
  </si>
  <si>
    <t>Shot 10</t>
  </si>
  <si>
    <t>Shot 11</t>
  </si>
  <si>
    <t>Shot 12</t>
  </si>
  <si>
    <t>Shot 13</t>
  </si>
  <si>
    <t>Shot 14</t>
  </si>
  <si>
    <t>Shot 15</t>
  </si>
  <si>
    <t/>
  </si>
  <si>
    <t>Clip Name</t>
  </si>
  <si>
    <t>Clip Link</t>
  </si>
  <si>
    <t>Characters</t>
  </si>
  <si>
    <t>Actions</t>
  </si>
  <si>
    <t>Jorynn</t>
  </si>
  <si>
    <t>Jorynn_Child_Assessment.mov</t>
  </si>
  <si>
    <t>https://drive.google.com/file/d/1gP5r4ZmK0CC65l_jcaxt93cPx3SVZq0l/view?usp=drivesdk</t>
  </si>
  <si>
    <t>girl</t>
  </si>
  <si>
    <t>girl points at book (00:00 - 00:08), girl places card in book (00:08 - 00:10), girl flips pages in book (00:10 - 00:20), girl rests head on hand (00:20 - 00:30), girl smiles (00:24 - 00:25), girl rubs eye (00:27 - 00:28)</t>
  </si>
  <si>
    <t>Jorynn_Child_PassPaper.mov</t>
  </si>
  <si>
    <t>https://drive.google.com/file/d/1NKe8zfUqXz_KdZYyYh4eJGbo5bs6z3nv/view?usp=drivesdk</t>
  </si>
  <si>
    <t>girl looking at paper (00:00 - 00:04), girl looking at paper (00:07 - 00:09), girl smiling (00:01 - 00:02), girl holding paper (00:04 - 00:07), girl flipping paper (00:09 - 00:11)</t>
  </si>
  <si>
    <t>Jorynn_ParentChild_Holding_KooBits.mov</t>
  </si>
  <si>
    <t>https://drive.google.com/file/d/1n2dqAdTCQK-0MF8KE7SaUgvxH9ruzNMS/view?usp=drivesdk</t>
  </si>
  <si>
    <t>woman and girl</t>
  </si>
  <si>
    <t>woman pointing at girl's arm (00:00 - 00:01), woman pointing at tablet (00:01 - 00:06), woman giving a thumbs up (00:06 - 00:10), girl clenching her fist (00:06 - 00:10)</t>
  </si>
  <si>
    <t>Jorynn_Child_Video.mov</t>
  </si>
  <si>
    <t>https://drive.google.com/file/d/1m9qVYqa6TlznYKmurcR1PWbx3qTi2-nA/view?usp=drivesdk</t>
  </si>
  <si>
    <t>child</t>
  </si>
  <si>
    <t>child is using a tablet (00:00 - 00:41), child is looking at the camera (00:41 - 00:47)</t>
  </si>
  <si>
    <t>Jorynn_Parent_Assessment.mov</t>
  </si>
  <si>
    <t>https://drive.google.com/file/d/1ntSNpubcTcLHfPH89yqa_Qd0lcCnEEW4/view?usp=drivesdk</t>
  </si>
  <si>
    <t>woman</t>
  </si>
  <si>
    <t>woman reading book (00:00 - 00:05), woman flipping pages (00:05 - 00:08), woman smiling and pointing (00:08 - 00:13)</t>
  </si>
  <si>
    <t>Jorynn_ParentChild_Assessment_PassingKooBits.mov</t>
  </si>
  <si>
    <t>https://drive.google.com/file/d/1up7eHkP8TUTOPQP1PbvQap4cNOxYvlTX/view?usp=drivesdk</t>
  </si>
  <si>
    <t>woman and girl, girl</t>
  </si>
  <si>
    <t>woman and girl are looking at a book (00:00 - 00:05), girl rests her head on her hand (00:05 - 00:09), woman points at the book and girl looks at it (00:09 - 00:15), girl points at the book (00:15 - 00:20), woman points at the book while girl looks (00:20 - 00:27), woman closes the book and girl leans back (00:27 - 00:30), woman places and opens a tablet for girl (00:30 - 00:39)</t>
  </si>
  <si>
    <t>Jorynn_Parent_Relaxing.mov</t>
  </si>
  <si>
    <t>https://drive.google.com/file/d/1-Xd4yfIi6RzjZw8ieSTHNmIsvVxuHzhF/view?usp=drivesdk</t>
  </si>
  <si>
    <t>woman looks at phone (00:00 - 00:05), woman picks up drink (00:05 - 00:06), woman sips drink (00:06 - 00:11), woman smiles (00:11 - 00:12), woman puts down drink (00:12 - 00:13)</t>
  </si>
  <si>
    <t>Jorynn_Child_FailPaper.mov</t>
  </si>
  <si>
    <t>https://drive.google.com/file/d/1Oy_TCnOKirQZ2Nw56qwMUsPfJRTA58dr/view?usp=drivesdk</t>
  </si>
  <si>
    <t>girl looking at paper (00:00 - 00:03), girl resting her head on her hand (00:03 - 00:05), girl resting her head on her hand (00:10 - 00:12), girl resting her head on her hand (00:15 - 00:19), girl talking (00:05 - 00:08), girl looking down at paper (00:08 - 00:10), girl looking down at paper (00:12 - 00:15)</t>
  </si>
  <si>
    <t>Jorynn_Child_Question.mov</t>
  </si>
  <si>
    <t>https://drive.google.com/file/d/1KYLvAQLhXiBKfut_8km_MOJOuVFPGdRw/view?usp=drivesdk</t>
  </si>
  <si>
    <t>woman and girl looking at tablet (00:00 - 00:05), woman and girl looking at tablet (00:11 - 00:12), girl tapping on tablet (00:05 - 00:08), woman and girl clapping hands (00:08 - 00:11)</t>
  </si>
  <si>
    <t>Jorynn_Child_Question 2.mov</t>
  </si>
  <si>
    <t>https://drive.google.com/file/d/1YkDuIXIcM5acoo29fIjHeTftN5TahjXy/view?usp=drivesdk</t>
  </si>
  <si>
    <t>girl looking at tablet (00:00 - 00:04), girl tilting tablet (00:01 - 00:02), girl touching tablet screen (00:04 - 00:19), girl raising fists and smiling (00:19 - 00:22), girl smiling and looking at tablet (00:22 - 00:25)</t>
  </si>
  <si>
    <t>Jorynn_Child_Playing.mov</t>
  </si>
  <si>
    <t>https://drive.google.com/file/d/1YuFVKDJQjrwPiOGqzwh0Eon4MSX20bL9/view?usp=drivesdk</t>
  </si>
  <si>
    <t>girl holding object (00:00 - 00:02), girl holding object (00:04 - 00:06), girl holding object (00:08 - 00:10), girl looking at object (00:02 - 00:04), girl holding pen and object (00:06 - 00:08), girl holding pen and object (00:14 - 00:19), girl holding pen (00:10 - 00:12), girl playing with fingers (00:12 - 00:14)</t>
  </si>
  <si>
    <t>Jasmine</t>
  </si>
  <si>
    <t>Jasmine_Parent_Relaxing.mov</t>
  </si>
  <si>
    <t>https://drive.google.com/file/d/1JBO0I7jrh2v2j3MF5_dILjp6huQV8NCI/view?usp=drivesdk</t>
  </si>
  <si>
    <t>woman looking down at papers (00:00 - 00:05), woman looking down and smiling (00:05 - 00:07), woman touching paper and smiling (00:07 - 00:11)</t>
  </si>
  <si>
    <t>Jasmine_Parent_Assessment.mov</t>
  </si>
  <si>
    <t>https://drive.google.com/file/d/1H236aHPwU73glOI0xtqJmAc9ESrBBigU/view?usp=drivesdk</t>
  </si>
  <si>
    <t>woman reading book (00:00 - 00:05), woman thinking (00:05 - 00:17), woman getting an idea (00:17 - 00:24), woman smiling and pointing finger up (00:24 - 00:28), woman closing book (00:28 - 00:30), woman walking away (00:30 - 00:33)</t>
  </si>
  <si>
    <t>Jasmine_ParentChild_Holding_KooBits.mov</t>
  </si>
  <si>
    <t>https://drive.google.com/file/d/1KIdmly8Och0jeLK1iHKSzdtfcF-osoOc/view?usp=drivesdk</t>
  </si>
  <si>
    <t>woman and girl posing with tablet (00:00 - 00:02), woman and girl posing with tablet (00:18 - 00:21), girl giving thumbs up (00:02 - 00:07), woman talking to girl (00:07 - 00:10), girl looking at tablet (00:10 - 00:18)</t>
  </si>
  <si>
    <t>Jasmine_ParentChild_Assessment_PassingKooBits.mov</t>
  </si>
  <si>
    <t>https://drive.google.com/file/d/1eayPG_t0BMCVC0T4V1xZEKK3S7aq3ZtG/view?usp=drivesdk</t>
  </si>
  <si>
    <t>woman pointing at book (00:00 - 00:05), woman talking and pointing at book (00:05 - 00:10), woman pointing at book and then at girl (00:10 - 00:14), woman retrieving tablet (00:14 - 00:18), woman showing tablet to girl (00:18 - 00:22), woman pointing at tablet screen (00:22 - 00:29), woman swiping on tablet screen (00:29 - 00:38)</t>
  </si>
  <si>
    <t>Jasmine_Child_Video.mov</t>
  </si>
  <si>
    <t>https://drive.google.com/file/d/1hzCdasHNa7otMiXsQAdPisoBp_nZ5acG/view?usp=drivesdk</t>
  </si>
  <si>
    <t>girl watching tablet (00:00 - 00:12), girl raising arm and smiling (00:12 - 00:16)</t>
  </si>
  <si>
    <t>Jasmine_Child_Playing.mov</t>
  </si>
  <si>
    <t>https://drive.google.com/file/d/1KvGIp9ZSw_Bo9enL_bAfk8Xm07YKIzxz/view?usp=drivesdk</t>
  </si>
  <si>
    <t>girl strokes toy bird's tail (00:00 - 00:10), girl adjusts toy bird's tail (00:10 - 00:18)</t>
  </si>
  <si>
    <t>girl playing with toy bird on book (00:00 - 00:03), girl moving toy bird's tail (00:03 - 00:06), girl moving toy bird's tail (00:09 - 00:11), girl continuing to move toy bird's tail (00:06 - 00:09), girl adjusting toy bird's tail (00:11 - 00:14), girl examining toy bird's tail (00:14 - 00:18)</t>
  </si>
  <si>
    <t>Jasmine_Child_Assessment.mov</t>
  </si>
  <si>
    <t>https://drive.google.com/file/d/128T67uXLBJ6Ky9AxU4-C6aLpfzk-0RJ9/view?usp=drivesdk</t>
  </si>
  <si>
    <t>girl is writing in book (00:00 - 00:06), girl is looking up (00:06 - 00:08), girl is pondering (00:08 - 00:10), girl is resting head in hand (00:10 - 00:18)</t>
  </si>
  <si>
    <t>girl writing in book (00:00 - 00:05), girl looking up and thinking (00:05 - 00:09), girl resting head on hand and looking at book (00:09 - 00:18)</t>
  </si>
  <si>
    <t>Jasmine_Child_Question.mov</t>
  </si>
  <si>
    <t>https://drive.google.com/file/d/1NIRMmLN3dtC4E8_DRvc5NZ4fwubvxJBJ/view?usp=drivesdk</t>
  </si>
  <si>
    <t>girl tapping tablet (00:00 - 00:04), girl tapping tablet (00:13 - 00:19), girl tapping tablet (00:26 - 00:29), girl scrolling on tablet (00:04 - 00:06), girl looking at tablet (00:06 - 00:07), girl resting chin on hand and looking at tablet (00:07 - 00:13), girl pointing at tablet (00:19 - 00:26), girl turning and giving thumbs up (00:29 - 00:33), girl clapping hands and smiling (00:33 - 00:37)</t>
  </si>
  <si>
    <t>girl touching tablet screen (00:00 - 00:04), girl scrolling on tablet (00:04 - 00:07), girl looking at tablet (00:07 - 00:10), girl tapping options on tablet (00:10 - 00:27), girl tapping on tablet screen (00:27 - 00:29), girl giving thumbs up (00:29 - 00:32), girl smiling and clapping hands (00:32 - 00:37)</t>
  </si>
  <si>
    <t>Jasmine_Child_FailPaper.mov</t>
  </si>
  <si>
    <t>https://drive.google.com/file/d/1N0O_pqEXDZZBmG7iMivjpN5p1rNqKbe3/view?usp=drivesdk</t>
  </si>
  <si>
    <t>girl holding a paper (00:00 - 00:03), girl flipping pages (00:03 - 00:08), girl showing the paper (00:08 - 00:10), girl holding up the paper (00:10 - 00:15), girl pointing at paper with finger (00:15 - 00:20)</t>
  </si>
  <si>
    <t>girl holding paper (00:00 - 00:02), girl folding paper (00:02 - 00:06), girl unfolding paper (00:06 - 00:10), girl showing paper (00:10 - 00:21)</t>
  </si>
  <si>
    <t>Jasmine_Child_PassPaper.mov</t>
  </si>
  <si>
    <t>https://drive.google.com/file/d/1CixE84x-aUDimMI08Ta-IuRpC54sqnT0/view?usp=drivesdk</t>
  </si>
  <si>
    <t>girl holds paper, girl smiles (00:00 - 00:01), girl holds paper, girl smiles, girl points at paper (00:01 - 00:15), girl holds paper, girl smiles, girl points at paper (00:20 - 00:25), girl holds paper, girl smiles, girl points at paper, girl gives thumbs up (00:15 - 00:20)</t>
  </si>
  <si>
    <t>girl showing paper and pointing (00:00 - 00:15), girl giving thumbs up and smiling (00:15 - 00:25)</t>
  </si>
  <si>
    <t>Nessa</t>
  </si>
  <si>
    <t>Nessa_Child_FailPaper.mov</t>
  </si>
  <si>
    <t>https://drive.google.com/file/d/182xRcmTLNeNRuujyio7PIgOEDcxRqUzI/view?usp=drivesdk</t>
  </si>
  <si>
    <t>boy</t>
  </si>
  <si>
    <t>boy sitting at desk (00:00 - 00:01), boy holds up paper (00:01 - 00:03), boy holds up paper (00:06 - 00:09), boy holds paper up (00:03 - 00:06)</t>
  </si>
  <si>
    <t>boy sitting at desk and holding head (00:00 - 00:01), boy holding up paper (00:01 - 00:03), boy holding paper up close (00:03 - 00:05), boy holding paper up and smiling (00:05 - 00:09)</t>
  </si>
  <si>
    <t>Nessa_Child_PassPaper.mov</t>
  </si>
  <si>
    <t>https://drive.google.com/file/d/1zzV46-78QF-E0mi6h8W3bFiET7y_ql2g/view?usp=drivesdk</t>
  </si>
  <si>
    <t>boy holding papers (00:00 - 00:02), boy holding papers (00:04 - 00:07), boy waving papers (00:02 - 00:04), boy waving papers (00:07 - 00:10)</t>
  </si>
  <si>
    <t>boy holding papers (00:00 - 00:01), boy moving papers and smiling (00:01 - 00:05), boy moving papers and smiling (00:07 - 00:09), boy holding papers and smiling (00:05 - 00:07)</t>
  </si>
  <si>
    <t>Nessa_Child_Playing.mov</t>
  </si>
  <si>
    <t>https://drive.google.com/file/d/1zOkOPDi-K-J7ozpjORLnMxabYxapVqfX/view?usp=drivesdk</t>
  </si>
  <si>
    <t>boy playing with toys (00:00 - 00:07), boy writing on paper (00:07 - 00:09)</t>
  </si>
  <si>
    <t>boy, boy and adult</t>
  </si>
  <si>
    <t>boy balancing figures on a pen (00:00 - 00:05), adult pointing at paper with a pen (00:05 - 00:07), boy writing on paper (00:07 - 00:09)</t>
  </si>
  <si>
    <t>Nessa_Child_Assessment.mov</t>
  </si>
  <si>
    <t>https://drive.google.com/file/d/1bq6gd6NIy3J8vO7xfGtYrfTCi6_9kCI2/view?usp=drivesdk</t>
  </si>
  <si>
    <t>boy writing in book (00:00 - 00:02), boy writing in book (00:07 - 00:09), boy scratching head (00:02 - 00:04), boy looking up and smiling (00:04 - 00:07)</t>
  </si>
  <si>
    <t>boy looking down at book (00:00 - 00:01), boy scratching head (00:01 - 00:03), boy looking up and leaning back (00:03 - 00:06), boy smiling (00:06 - 00:07), boy looking down and writing (00:07 - 00:09)</t>
  </si>
  <si>
    <t>Nessa_Parent_Relaxing.mov</t>
  </si>
  <si>
    <t>https://drive.google.com/file/d/16x8YYPANBvKMZKFG4XYLaD27nGuKseWW/view?usp=drivesdk</t>
  </si>
  <si>
    <t>woman looking at phone (00:00 - 00:02), woman laughing (00:02 - 00:07), woman tapping phone screen (00:07 - 00:10)</t>
  </si>
  <si>
    <t>woman lying on bed (00:00 - 00:09), woman wearing a face mask (00:00 - 00:09), woman wearing glasses (00:00 - 00:09), woman holding a phone (00:00 - 00:09), woman tapping on phone (00:00 - 00:09), woman smiling (00:03 - 00:08), woman talking (00:02 - 00:08)</t>
  </si>
  <si>
    <t>Nessa_ParentChild_Assessment_PassingKooBits.mov</t>
  </si>
  <si>
    <t>https://drive.google.com/file/d/12hfcSnXWNeGqg3bZggTsVjYpR_4Ag5ZU/view?usp=drivesdk</t>
  </si>
  <si>
    <t>woman and boy</t>
  </si>
  <si>
    <t>woman pointing at book; boy looking at book (00:00 - 00:01), woman touching boy's head; boy smiling (00:01 - 00:02), woman adjusting her hair; boy writing (00:02 - 00:04), woman laughing; boy writing (00:04 - 00:06), woman holding tablet; boy writing (00:06 - 00:07), woman showing tablet to boy; woman and boy looking at tablet; woman and boy laughing (00:07 - 00:09), woman and boy laughing; woman and boy holding tablet (00:09 - 00:10)</t>
  </si>
  <si>
    <t>woman and boy, woman</t>
  </si>
  <si>
    <t>woman points at book, boy writes (00:00 - 00:01), woman touches boy's head, boy looks at her (00:01 - 00:02), woman fixes her hair (00:02 - 00:03), woman looks at boy, boy writes in book (00:03 - 00:04), woman smiles and gestures with hand (00:04 - 00:05), woman laughs (00:05 - 00:06), woman holds tablet and looks at boy, boy writes (00:06 - 00:07), woman shows tablet to boy, both look at tablet (00:07 - 00:08), woman and boy hug and smile at tablet (00:08 - 00:09)</t>
  </si>
  <si>
    <t>Nessa_ParentChild_Holding_KooBits.mov</t>
  </si>
  <si>
    <t>https://drive.google.com/file/d/1RNsl9RHMkohF0RS19j2BxazEReyl59Iv/view?usp=drivesdk</t>
  </si>
  <si>
    <t>woman and boy smiling (00:00 - 00:03), woman and boy looking at tablet (00:03 - 00:08), woman and boy smiling at camera (00:08 - 00:10)</t>
  </si>
  <si>
    <t>woman holding tablet and smiling, boy smiling and making peace sign (00:00 - 00:07), woman making kissing face, boy smiling and making peace sign (00:07 - 00:09)</t>
  </si>
  <si>
    <t>Nessa_Parent_Assessment.mov</t>
  </si>
  <si>
    <t>https://drive.google.com/file/d/1Ok9Q4DsKlArB0adFRwrJM5ZJ4UW_HJ89/view?usp=drivesdk</t>
  </si>
  <si>
    <t>woman holding and reading a book (00:00 - 00:03), woman thinking (00:03 - 00:06), woman thinking (00:08 - 00:09), woman reading a book (00:06 - 00:08), woman pointing finger (00:09 - 00:11), woman smiling (00:11 - 00:13)</t>
  </si>
  <si>
    <t>woman is looking at book (00:00 - 00:01), woman is looking at book (00:03 - 00:06), woman is touching her head and looking at book (00:01 - 00:03), woman is touching her chin and looking at book (00:06 - 00:08), woman is pointing finger up and looking at book (00:08 - 00:10), woman is smiling and looking at book (00:10 - 00:13)</t>
  </si>
  <si>
    <t>Nessa_Child_Video.mov</t>
  </si>
  <si>
    <t>https://drive.google.com/file/d/1sYGX8QhA7pe3QGpd6Oo1MlKiBS4wwCXs/view?usp=drivesdk</t>
  </si>
  <si>
    <t>boy tapping tablet (00:00 - 00:03), boy tapping tablet (00:05 - 00:08), boy tapping tablet (00:10 - 00:13), boy scrolling on tablet (00:03 - 00:07), boy looking at tablet (00:08 - 00:15)</t>
  </si>
  <si>
    <t>boy's hand, boy</t>
  </si>
  <si>
    <t>boy's hand is scrolling on a tablet (00:00 - 00:03), boy is looking at a tablet (00:03 - 00:04), boy is tapping on a tablet (00:04 - 00:08), boy is watching a tablet (00:08 - 00:10), boy's hand is tapping on a tablet (00:10 - 00:12), boy is looking at a tablet and smiling (00:12 - 00:15)</t>
  </si>
  <si>
    <t>Nessa_Child_Question.mov</t>
  </si>
  <si>
    <t>https://drive.google.com/file/d/1mscOA3dU08LF4FlybMWQB4V2ErRzKy_C/view?usp=drivesdk</t>
  </si>
  <si>
    <t>boy is looking at tablet (00:00 - 00:01), boy is looking at tablet (00:03 - 00:05), boy is tapping tablet (00:01 - 00:03), boy is tapping tablet (00:07 - 00:11), boy is high-fiving someone off-screen (00:05 - 00:07)</t>
  </si>
  <si>
    <t>boy, boy and another person</t>
  </si>
  <si>
    <t>boy looking at tablet (00:00 - 00:01), boy looking at tablet (00:03 - 00:04), boy looking at tablet (00:07 - 00:08), boy raising hand (00:01 - 00:02), boy raising hand (00:05 - 00:06), boy touching tablet screen (00:02 - 00:05), boy touching tablet screen (00:08 - 00:10), boy high-fiving hand (00:06 - 00:07)</t>
  </si>
  <si>
    <t>jingwen</t>
  </si>
  <si>
    <t>jingwen_girl_Parent_Assessment.mp4</t>
  </si>
  <si>
    <t>https://drive.google.com/file/d/18NYZO54Nftb_fj7lSU6RlP7JMIgUHUfb/view?usp=drivesdk</t>
  </si>
  <si>
    <t>woman looking at book (00:00 - 00:07), woman looking up (00:07 - 00:08), woman raising finger (00:08 - 00:10), woman smiling (00:10 - 00:12)</t>
  </si>
  <si>
    <t>woman looking at book (00:00 - 00:01), woman reading book (00:01 - 00:07), woman looking up from book (00:07 - 00:08), woman raising finger (00:08 - 00:10), woman smiling (00:10 - 00:12)</t>
  </si>
  <si>
    <t>jingwen_girl_Child_Video.mp4</t>
  </si>
  <si>
    <t>https://drive.google.com/file/d/1CAygu4CyNNSpoX594_Gc5FE5bPdENZUn/view?usp=drivesdk</t>
  </si>
  <si>
    <t>girl looking at computer (00:03 - 00:07), girl looking at computer (00:20 - 00:24), girl resting head on hand (00:07 - 00:12), girl smiling (00:18 - 00:20), girl giving thumbs-up (00:18 - 00:20)</t>
  </si>
  <si>
    <t>jingwen_girl_Child_Question.mp4</t>
  </si>
  <si>
    <t>https://drive.google.com/file/d/1EC8pODDaHY_FJI8ZpQEAMppYdoFsg8Xh/view?usp=drivesdk</t>
  </si>
  <si>
    <t>girl using computer (00:00 - 00:03), girl using mouse (00:03 - 00:07), girl looking at computer (00:07 - 00:09), girl cheering (00:09 - 00:11), girl smiling (00:11 - 00:13)</t>
  </si>
  <si>
    <t>girl looking at screen (00:04 - 00:18), girl looking at screen (00:20 - 00:23), girl's hands clasped (00:04 - 00:08), girl smiling (00:18 - 00:20), girl giving thumbs up (00:18 - 00:20)</t>
  </si>
  <si>
    <t>jingwen_girl_Child_Playing.mp4</t>
  </si>
  <si>
    <t>https://drive.google.com/file/d/1lDSReLPhBizgR66b0j9BVLNItUPpI4l6/view?usp=drivesdk</t>
  </si>
  <si>
    <t>girl holding pen (00:00 - 00:03), girl tapping ruler on table (00:03 - 00:09)</t>
  </si>
  <si>
    <t>girl typing on keyboard (00:00 - 00:03), girl watching computer screen (00:03 - 00:07), girl raising arms (00:07 - 00:10), girl giving thumbs-up (00:10 - 00:13)</t>
  </si>
  <si>
    <t>jingwen_girl_Child_Assessment.mp4</t>
  </si>
  <si>
    <t>https://drive.google.com/file/d/193qMS2r8rBRUYoF-HizlYToeFa6-bQ_e/view?usp=drivesdk</t>
  </si>
  <si>
    <t>girl writing on paper with pencil (00:00 - 00:03), girl rubbing her face (00:03 - 00:05), girl covering her face with hands (00:05 - 00:09), girl looking up and crossing arms (00:09 - 00:11), girl looking away with sad expression (00:11 - 00:13), girl looking around with pencil in hand (00:13 - 00:18)</t>
  </si>
  <si>
    <t>girl fiddling with mechanical pencil (00:00 - 00:02), girl dropping pencil and reaching (00:02 - 00:04), girl hitting ruler on paper and table (00:04 - 00:05), girl hitting ruler on table (00:05 - 00:07), girl looking at and placing ruler on paper (00:07 - 00:09)</t>
  </si>
  <si>
    <t>jingwen_girl_Child_FailPaper.mp4</t>
  </si>
  <si>
    <t>https://drive.google.com/file/d/1QECm8Zs_LnS8eEj-c47up-wnRYbRwMim/view?usp=drivesdk</t>
  </si>
  <si>
    <t>girl, girl's hand</t>
  </si>
  <si>
    <t>girl sitting and looking down (00:00 - 00:01), girl sitting and looking down (00:08 - 00:13), girl's hand holding pen and pointing at paper (00:01 - 00:03), girl's hand pointing at paper (00:03 - 00:06), girl's hand holding pen (00:06 - 00:08)</t>
  </si>
  <si>
    <t>girl writing on paper (00:00 - 00:03), girl putting down pencil (00:03 - 00:04), girl covering eyes with hands (00:04 - 00:09), girl looking up (00:09 - 00:11), girl looking around (00:11 - 00:13), girl looking at paper (00:13 - 00:18)</t>
  </si>
  <si>
    <t>jingwen_girl_Child_PassPaper.mp4</t>
  </si>
  <si>
    <t>https://drive.google.com/file/d/1GJwT-3EMgC73luEGy5eN3b5fQpMPK7Zl/view?usp=drivesdk</t>
  </si>
  <si>
    <t>girl's hand, girl</t>
  </si>
  <si>
    <t>girl's hand holds paper (00:00 - 00:01), girl's hand holds paper (00:05 - 00:08), girl jumps into frame (00:01 - 00:02), girl smiles and jumps (00:02 - 00:04), girl smiles and sticks out tongue (00:04 - 00:05), girl's hand adjusts paper (00:08 - 00:10)</t>
  </si>
  <si>
    <t>girl sitting (00:00 - 00:02), girl pointing at paper (00:02 - 00:07), girl looking at paper (00:07 - 00:13)</t>
  </si>
  <si>
    <t>qian</t>
  </si>
  <si>
    <t>qian_boy_Child_Question.mov</t>
  </si>
  <si>
    <t>https://drive.google.com/file/d/1rCZ7iSNgSMeVDAxAu-lghpuKYtJ8xP8B/view?usp=drivesdk</t>
  </si>
  <si>
    <t>boy looking at laptop (00:00 - 00:03), boy smiling and laughing (00:03 - 00:06), boy raising hands (00:06 - 00:07), boy posing (00:07 - 00:10)</t>
  </si>
  <si>
    <t>girl holding paper (00:00 - 00:01), girl smiling and swaying (00:01 - 00:02), girl jumping and smiling (00:02 - 00:04), girl holding paper and licking lips (00:04 - 00:06), girl holding and pointing at paper (00:06 - 00:10)</t>
  </si>
  <si>
    <t>qian_boy_Child_Video.mov</t>
  </si>
  <si>
    <t>https://drive.google.com/file/d/1vHJK-mD33qALssINllK6TzK9wCKkauzw/view?usp=drivesdk</t>
  </si>
  <si>
    <t>no one, boy</t>
  </si>
  <si>
    <t>laptop displaying a math problem (00:00 - 00:04), boy watching laptop (00:04 - 00:07), boy watching laptop (00:09 - 00:12), boy smiling and giving a thumbs up (00:07 - 00:09)</t>
  </si>
  <si>
    <t>boy using laptop (00:00 - 00:03), boy smiling and laughing (00:03 - 00:05), boy raising arms (00:05 - 00:09)</t>
  </si>
  <si>
    <t>qian_boy_Child_FailPaper.mov</t>
  </si>
  <si>
    <t>https://drive.google.com/file/d/1bBQeVp8pqdJeeHmSfDoSnAawM7ChnYj3/view?usp=drivesdk</t>
  </si>
  <si>
    <t>child reaches for paper (00:00 - 00:03), child rests head on table (00:03 - 00:08), child holds paper in front of face (00:08 - 00:13)</t>
  </si>
  <si>
    <t>no people, boy</t>
  </si>
  <si>
    <t>laptop displaying a math problem (00:00 - 00:04), boy sitting with back to camera (00:04 - 00:06), boy turning to camera (00:06 - 00:07), boy smiling (00:07 - 00:08), boy giving thumbs up (00:08 - 00:09), boy looking at laptop (00:09 - 00:12)</t>
  </si>
  <si>
    <t>qian_boy_Child_Assessment.mov</t>
  </si>
  <si>
    <t>https://drive.google.com/file/d/1xNqD1VxtA7xo3NVWeq5Hjuna3C6f27dH/view?usp=drivesdk</t>
  </si>
  <si>
    <t>boy holding a red pencil (00:00 - 00:01), boy dropping the red pencil (00:01 - 00:02), boy resting his head on his hand (00:02 - 00:03), boy looking and pouting (00:03 - 00:05)</t>
  </si>
  <si>
    <t>hand, boy</t>
  </si>
  <si>
    <t>hand touches a document (00:01 - 00:02), boy leans on a table (00:02 - 00:04), boy is lying face down on a document (00:04 - 00:09), boy holds a document in front of his face (00:09 - 00:13)</t>
  </si>
  <si>
    <t>qian_boy_Parent_Assessment.mov</t>
  </si>
  <si>
    <t>https://drive.google.com/file/d/17LOVi6C5DEkEzEJzi6erZuFGU1CHri4S/view?usp=drivesdk</t>
  </si>
  <si>
    <t>woman looking at book (00:00 - 00:02), woman touching her chin (00:02 - 00:04), woman touching her chin (00:09 - 00:11), woman gesturing with her hand (00:04 - 00:07), woman shaking her head (00:07 - 00:09), woman pointing finger up and smiling (00:11 - 00:15)</t>
  </si>
  <si>
    <t>boy resting chin on hand (00:00 - 00:02), boy putting down pencil (00:01 - 00:02), boy looking at camera (00:03 - 00:05), boy making a funny face (00:04 - 00:05)</t>
  </si>
  <si>
    <t>woman looking at book (00:00 - 00:02), woman looking at book (00:08 - 00:12), woman looking confused (00:02 - 00:06), woman raising hands in exasperation (00:06 - 00:08), woman pointing and smiling (00:12 - 00:15)</t>
  </si>
  <si>
    <t>Deb</t>
  </si>
  <si>
    <t>Deb_Boy_Child_PassPaper.mp4</t>
  </si>
  <si>
    <t>https://drive.google.com/file/d/17E7KlAzQbIDhttURf0PbqWGzfmEn-Srv/view?usp=drivesdk</t>
  </si>
  <si>
    <t>boy, boy and woman, woman, woman and boy</t>
  </si>
  <si>
    <t>boy holding paper and smiling (00:00 - 00:06), boy opening mouth and holding paper (00:06 - 00:10), boy holding paper (00:10 - 00:20), boy playing with pen (00:20 - 00:29), boy tapping tablet (00:29 - 00:32), boy typing on tablet (00:32 - 00:38), boy clapping hands (00:38 - 00:40), boy and woman interacting with hands (00:40 - 00:53), woman flipping pages of book (00:53 - 01:03), woman holding tablet and smiling (01:03 - 01:05), boy playing on tablet (01:05 - 01:07), boy looking at tablet and smiling (01:07 - 01:09), woman drinking from can (01:09 - 01:12), woman and boy looking at paper (01:12 - 01:29), woman and boy looking at tablet (01:29 - 01:32), woman and boy looking at tablet (01:35 - 01:40), boy closing tablet and woman smiling (01:32 - 01:35), woman and boy holding tablet and smiling (01:40 - 01:46), woman kissing boy's cheek while holding tablet (01:46 - 01:49), woman hugging boy while holding tablet (01:49 - 01:52)</t>
  </si>
  <si>
    <t>Deb_Boy_Child_FailPaper.mp4</t>
  </si>
  <si>
    <t>https://drive.google.com/file/d/1IjTvJhuCmh5zE--Yno9nRYWsNsiZLplM/view?usp=drivesdk</t>
  </si>
  <si>
    <t>boy holding paper (00:00 - 00:09)</t>
  </si>
  <si>
    <t>boy, woman and boy, woman</t>
  </si>
  <si>
    <t>boy holding paper and smiling (00:00 - 00:05), boy opening mouth and holding paper (00:05 - 00:09), boy looking at paper (00:09 - 00:19), boy spinning pencil (00:19 - 00:29), boy touching tablet screen (00:29 - 00:37), boy clapping hands (00:37 - 00:40), woman and boy looking at tablet (00:40 - 00:52), woman and boy looking at tablet (01:28 - 01:40), woman flipping pages of book (00:52 - 01:03), woman holding tablet and smiling (01:03 - 01:05), boy looking at tablet (01:05 - 01:09), woman drinking from can (01:09 - 01:12), woman and boy looking at book (01:12 - 01:28), woman and boy holding tablet and smiling (01:40 - 01:53)</t>
  </si>
  <si>
    <t>Deb_Boy_Child_Playing.mp4</t>
  </si>
  <si>
    <t>https://drive.google.com/file/d/1LEgWHww-g27JLzNb96QMcIcx3wV2WKIY/view?usp=drivesdk</t>
  </si>
  <si>
    <t>boy plays with pencil (00:00 - 00:03), boy plays with pencil (00:06 - 00:10), boy points at book with pencil (00:03 - 00:06)</t>
  </si>
  <si>
    <t>boy holding paper (00:00 - 00:08), boy looking at paper (00:00 - 00:08)</t>
  </si>
  <si>
    <t>Deb_Boy_Child_Question.mp4</t>
  </si>
  <si>
    <t>https://drive.google.com/file/d/1eAGRbH_TcxuvnafgNeuSjY963B9uep4H/view?usp=drivesdk</t>
  </si>
  <si>
    <t>child's hand touching tablet screen (00:00 - 00:03), child's hand typing on tablet keyboard (00:03 - 00:07), child's hand tapping tablet screen (00:07 - 00:08), child clapping hands and smiling (00:08 - 00:10)</t>
  </si>
  <si>
    <t>Boy</t>
  </si>
  <si>
    <t>Boy spinning pencil (00:00 - 00:04), Boy spinning pencil (00:06 - 00:07), Boy tapping pencil on book (00:02 - 00:05), Boy tapping pencil on book (00:07 - 00:09), Boy pointing at book (00:05 - 00:06), Boy placing pencil on book (00:09 - 00:10)</t>
  </si>
  <si>
    <t>Deb_Boy_ParentChild_Question.mp4</t>
  </si>
  <si>
    <t>https://drive.google.com/file/d/1CV6M6CJbBuRzyJIeqBaew1ClSUemXmaI/view?usp=drivesdk</t>
  </si>
  <si>
    <t>woman touching boy's hand (00:00 - 00:03), boy rubbing his fingers (00:03 - 00:07), woman touching boy's fingers (00:07 - 00:13)</t>
  </si>
  <si>
    <t>child, boy</t>
  </si>
  <si>
    <t>child is touching tablet screen (00:00 - 00:03), child is typing on tablet (00:03 - 00:07), child is tapping tablet and clapping hands (00:07 - 00:09), boy is smiling and clapping hands (00:09 - 00:11)</t>
  </si>
  <si>
    <t>Deb_Boy_Parent_Assessment.mp4</t>
  </si>
  <si>
    <t>https://drive.google.com/file/d/1oEKgdDYHY7OE1QhxaTmfgnlDMXHeSzw3/view?usp=drivesdk</t>
  </si>
  <si>
    <t>woman holding and looking at book (00:00 - 00:02), woman turning book page (00:02 - 00:04), woman looking at book (00:04 - 00:09)</t>
  </si>
  <si>
    <t>boy and woman</t>
  </si>
  <si>
    <t>boy looking at tablet (00:00 - 00:02), boy moving hand near face (00:00 - 00:02), woman observing boy (00:00 - 00:04), woman observing boy (00:07 - 00:12), boy touching fingers (00:02 - 00:12), woman observing boy and smiling (00:04 - 00:07)</t>
  </si>
  <si>
    <t>Deb_Boy_Parent_Holding_KooBits.mp4</t>
  </si>
  <si>
    <t>https://drive.google.com/file/d/1iY-RlU2krCz1myLgZ4rzfD89I-xv0BAZ/view?usp=drivesdk</t>
  </si>
  <si>
    <t>woman holds tablet and smiles at camera (00:00 - 00:02)</t>
  </si>
  <si>
    <t>Deb_Boy_Child_Video.mp4</t>
  </si>
  <si>
    <t>https://drive.google.com/file/d/13jWuAGe6mFA3SBDB4ZReuAGASaly-wts/view?usp=drivesdk</t>
  </si>
  <si>
    <t>boy, boy and woman</t>
  </si>
  <si>
    <t>boy holding tablet (00:00 - 00:02), boy looking at tablet (00:02 - 00:04)</t>
  </si>
  <si>
    <t>woman holding book (00:00 - 00:09), woman examining book pages (00:00 - 00:09), woman turning book page (00:02 - 00:07)</t>
  </si>
  <si>
    <t>Deb_Boy_Parent_Relaxing.mp4</t>
  </si>
  <si>
    <t>https://drive.google.com/file/d/1cnTJN8WLFWsY2DTEYBtfRaN2ZMQbqrf5/view?usp=drivesdk</t>
  </si>
  <si>
    <t>woman drinking from a can (00:00 - 00:02)</t>
  </si>
  <si>
    <t>woman sitting (00:00 - 00:02), woman holding tablet (00:00 - 00:02), woman smiling (00:00 - 00:02)</t>
  </si>
  <si>
    <t>Deb_Boy_ParentChild_Assessment.mp4</t>
  </si>
  <si>
    <t>https://drive.google.com/file/d/1n9Rzb1ojV0GjOQgqDr_n6eF5iICEZ_Vz/view?usp=drivesdk</t>
  </si>
  <si>
    <t>boy pointing at book (00:00 - 00:03), woman and boy looking at book (00:03 - 00:16)</t>
  </si>
  <si>
    <t>A child</t>
  </si>
  <si>
    <t>A child holding a tablet, a child looking at a tablet (00:00 - 00:02), A child smiling, a child looking forward (00:02 - 00:04)</t>
  </si>
  <si>
    <t>woman sitting and drinking from a can (00:00 - 00:03)</t>
  </si>
  <si>
    <t>Deb_Boy_ParentChild_PassingKooBits.mp4</t>
  </si>
  <si>
    <t>https://drive.google.com/file/d/1R6Us1GXARdm4sVuKXjqrWJC8OaZwDpiC/view?usp=drivesdk</t>
  </si>
  <si>
    <t>woman and boy, boy, woman</t>
  </si>
  <si>
    <t>woman and boy look at the book (00:00 - 00:01), boy points at the tablet (00:01 - 00:02), boy points at the tablet (00:04 - 00:05), woman smiles (00:02 - 00:03), woman smiles (00:10 - 00:11), boy smiles (00:03 - 00:04), boy covers the tablet (00:05 - 00:06), boy uncovers the tablet (00:06 - 00:07), woman and boy look at the tablet (00:07 - 00:09), boy touches the tablet (00:09 - 00:10), boy waves his hand (00:11 - 00:13)</t>
  </si>
  <si>
    <t>boy pointing at book (00:00 - 00:02), boy pointing at book (00:04 - 00:05), boy pointing at book (00:09 - 00:10), boy turning pages of book (00:02 - 00:09), woman pointing at book (00:10 - 00:16)</t>
  </si>
  <si>
    <t>Deb_Boy_ParentChild_Holding_KooBits.mp4</t>
  </si>
  <si>
    <t>https://drive.google.com/file/d/1uEewG9QXqwxvh8mi1lvOLtyLyJwh99wM/view?usp=drivesdk</t>
  </si>
  <si>
    <t>boy, woman</t>
  </si>
  <si>
    <t>boy holding tablet (00:00 - 00:11), boy smiling (00:00 - 00:11), woman holding tablet (00:00 - 00:11), woman looking at boy (00:00 - 00:05), woman kissing boy (00:05 - 00:08), woman embracing boy (00:08 - 00:11)</t>
  </si>
  <si>
    <t>woman and boy looking at workbook (00:00 - 00:01), woman holding tablet and boy pointing at it (00:01 - 00:02), woman smiling and boy pointing at tablet (00:02 - 00:04), boy closing tablet (00:04 - 00:05), boy putting tablet down (00:05 - 00:06), woman and boy looking at tablet (00:06 - 00:09), boy waving hand (00:09 - 00:12)</t>
  </si>
  <si>
    <t>https://drive.google.com/file/d/1f8tZWK0BMcmkKdjdLYjjeNUcCt3b9G-4/view?usp=drivesdk</t>
  </si>
  <si>
    <t>girl holding and shaking paper (00:00 - 00:05), girl holding paper and giving thumbs-up (00:05 - 00:10), girl holding paper and giving thumbs-up (00:25 - 00:28), girl pointing at paper and smiling (00:10 - 00:15), girl pointing at paper and looking at camera (00:15 - 00:20), girl pointing at paper and giving thumbs-up (00:20 - 00:25), girl holding paper up to camera (00:28 - 00:36)</t>
  </si>
  <si>
    <t>https://drive.google.com/file/d/1u862g_HA0SrONcO6QYnpQmbyxB5qGLN_/view?usp=drivesdk</t>
  </si>
  <si>
    <t>girl reading paper (00:00 - 00:09), girl showing paper and pointing at it (00:09 - 00:23)</t>
  </si>
  <si>
    <t>boy and woman, woman and boy</t>
  </si>
  <si>
    <t>boy holding tablet and talking; woman smiling (00:00 - 00:01), boy holding tablet and smiling; woman smiling (00:01 - 00:05), woman kissing boy; boy smiling and holding tablet (00:05 - 00:07), woman smiling; boy smiling and holding tablet (00:07 - 00:11)</t>
  </si>
  <si>
    <t>girl holding paper (00:00 - 00:06), girl giving thumbs up (00:06 - 00:09), girl looking at paper (00:09 - 00:11), girl pointing at paper (00:11 - 00:14), girl pointing at paper and smiling (00:14 - 00:23), girl giving thumbs up and smiling (00:23 - 00:27), girl showing paper to camera (00:27 - 00:37)</t>
  </si>
  <si>
    <t>https://drive.google.com/file/d/1X8nHWSx_Szn5zpk3JUGHqsz-md-3_lDU/view?usp=drivesdk</t>
  </si>
  <si>
    <t>girl looking at tablet (00:00 - 00:01), girl tapping tablet (00:01 - 00:10), girl tapping tablet (00:20 - 00:22), girl typing on tablet (00:10 - 00:20), girl making fist gesture (00:22 - 00:30), girl clapping hands (00:30 - 00:34)</t>
  </si>
  <si>
    <t>girl reading paper (00:00 - 00:09), girl showing paper (00:09 - 00:23)</t>
  </si>
  <si>
    <t>https://drive.google.com/file/d/1WbTpVBsDvxXy44LZXaNhxBm29hR9zzvs/view?usp=drivesdk</t>
  </si>
  <si>
    <t>girl writing in a book (00:00 - 00:07), girl thinking and looking around (00:07 - 00:13), girl holding her head and looking at the book (00:13 - 00:23)</t>
  </si>
  <si>
    <t>girl tapping on tablet (00:00 - 00:02), girl selecting an activity on tablet (00:02 - 00:09), girl typing on tablet keyboard (00:09 - 00:22), girl raising her fist in excitement (00:22 - 00:28), girl clapping her hands (00:28 - 00:34)</t>
  </si>
  <si>
    <t>https://drive.google.com/file/d/1IRsc8ducOBpztP9Nkhk_bzCnrgIT8Jkl/view?usp=drivesdk</t>
  </si>
  <si>
    <t>girl connects colorful paper shapes (00:00 - 00:05), girl attaches colorful paper shapes (00:05 - 00:10), girl adds colorful paper shapes (00:10 - 00:16), girl arranges colorful paper shapes (00:16 - 00:22)</t>
  </si>
  <si>
    <t>girl writing in book (00:00 - 00:07), girl looking up (00:07 - 00:13), girl resting hand on head (00:13 - 00:22)</t>
  </si>
  <si>
    <t>girl is connecting a blue piece to an orange piece (00:00 - 00:03), girl is connecting a yellow piece to the structure (00:03 - 00:08), girl is connecting another yellow piece to the structure (00:08 - 00:11), girl is connecting a pink piece to the structure (00:11 - 00:14), girl is adjusting the assembled colorful pieces (00:14 - 00:22)</t>
  </si>
  <si>
    <t>https://drive.google.com/file/d/1Vmw32K6fWNeemykixmAxNnlhs9AQDp1F/view?usp=drivesdk</t>
  </si>
  <si>
    <t>Hand, Girl</t>
  </si>
  <si>
    <t>Hand navigating on tablet (00:00 - 00:06), Hand tapping on tablet to open video (00:06 - 00:11), Hand tapping on tablet (00:11 - 00:12), Girl watching tablet (00:12 - 00:21), Girl watching tablet (00:29 - 00:31), Girl interacting with tablet and watching video (00:21 - 00:29), Girl interacting with tablet (00:31 - 00:35), Girl watching tablet and interacting with the screen (00:35 - 00:46), Girl looking at tablet (00:46 - 00:47), Girl pointing at camera (00:47 - 00:48), Girl giving thumbs up (00:48 - 00:49), Girl pointing at tablet and looking at camera (00:49 - 00:57)</t>
  </si>
  <si>
    <t>https://drive.google.com/file/d/1N15Owmnh9NMrAegYk6WRklqLpLbpWR4-/view?usp=drivesdk</t>
  </si>
  <si>
    <t>woman talking and pointing at book (00:00 - 00:01), girl writing, woman talking and pointing at book (00:01 - 00:02), girl writing, woman talking and pointing at book (00:09 - 00:11), girl looking at woman, woman talking and pointing at book (00:02 - 00:04), girl looking at woman, woman talking and pointing at book (00:08 - 00:09), girl looking at woman, woman talking and pointing at book (00:13 - 00:17), girl looking at woman, woman talking and gesturing (00:04 - 00:08), girl writing, woman talking (00:11 - 00:13), girl looking at woman, woman talking (00:17 - 00:19), woman reaching for something (00:19 - 00:22), woman holding tablet (00:22 - 00:24), woman showing tablet and talking (00:24 - 00:26), woman smiling and pointing at tablet (00:26 - 00:28), woman pointing at tablet and talking (00:28 - 00:36)</t>
  </si>
  <si>
    <t>https://drive.google.com/file/d/1ogZR3zO5eTTq9hLja0PVesN2uqmQVYPt/view?usp=drivesdk</t>
  </si>
  <si>
    <t>woman opens a book (00:00 - 00:01), woman opens a book (00:10 - 00:11), woman flips through a book (00:01 - 00:05), woman flips through a book (00:11 - 00:13), woman flips through a book (00:26 - 00:28), woman flips through a book (00:51 - 00:53), woman points at a book (00:05 - 00:08), woman puts down a book (00:08 - 00:09), woman puts down a book (00:54 - 00:55), woman picks up a book (00:09 - 00:10), woman reads a book (00:13 - 00:19), woman reads a book (00:28 - 00:32), woman rests her chin on her hand (00:19 - 00:22), woman rests her chin on her hand (00:25 - 00:26), woman touches her forehead (00:22 - 00:25), woman touches her forehead (00:32 - 00:41), woman touches her chin and looks up (00:41 - 00:46), woman snaps her fingers (00:46 - 00:49), woman smiles and gestures (00:49 - 00:51), woman closes a book (00:53 - 00:54)</t>
  </si>
  <si>
    <t>https://drive.google.com/file/d/1xvDQKP7bx3d0E6nvDliwtY1G3p-wDgoF/view?usp=drivesdk</t>
  </si>
  <si>
    <t>woman and girl smiling at camera, woman holding tablet, girl touching tablet with stylus (00:00 - 00:09), woman and girl smiling at camera, woman holding tablet, girl touching tablet with stylus (00:13 - 00:26), woman and girl looking at each other, woman holding tablet, girl touching tablet with stylus (00:09 - 00:13)</t>
  </si>
  <si>
    <t>https://drive.google.com/file/d/17C5OFyJ4Irz8FKiZqwhhPOcra5eo3WlT/view?usp=drivesdk</t>
  </si>
  <si>
    <t>woman smiling, woman looking at phone, woman pointing at phone, woman speaking (00:00 - 00:05), woman looking at phone, woman pointing at phone, woman speaking (00:05 - 00:16)</t>
  </si>
  <si>
    <t>https://drive.google.com/file/d/1fb3tXTXE0g7HExGnHQPwF8Sscbp6xQmT/view?usp=drivesdk</t>
  </si>
  <si>
    <t>girl holds papers (00:00 - 00:02), girl appears from behind tablet and holds papers (00:02 - 00:04), girl holds papers and looks at camera (00:04 - 00:07), girl raises papers, smiles, and raises fist (00:07 - 00:09), girl smiles and moves papers (00:09 - 00:13), girl holds papers and smiles at camera (00:13 - 00:18)</t>
  </si>
  <si>
    <t>https://drive.google.com/file/d/1-8ZtpvAULTD7NOBFGpFKK-Qv5pWN2oA6/view?usp=drivesdk</t>
  </si>
  <si>
    <t>girl looking at papers (00:00 - 00:01), girl frowning while holding papers (00:01 - 00:07), girl frowning while holding papers (00:15 - 00:17), girl shaking papers (00:07 - 00:15)</t>
  </si>
  <si>
    <t>https://drive.google.com/file/d/1PGMdAXE-YKc1h_yH6C7fy0vi3TIrdZK0/view?usp=drivesdk</t>
  </si>
  <si>
    <t>girl writing in a book (00:00 - 00:13), girl closing a book (00:09), girl opening a book (00:09 - 00:10), girl rubbing her head (00:13 - 00:19)</t>
  </si>
  <si>
    <t>https://drive.google.com/file/d/1a6BjWdr75siMIB1vYPfswhqIaeGY6T1j/view?usp=drivesdk</t>
  </si>
  <si>
    <t>woman flips pages of a book (00:00 - 00:05), woman thinks while holding a book (00:05 - 00:10)</t>
  </si>
  <si>
    <t>https://drive.google.com/file/d/1q74wz7u0Gums0yRIclkWOeAWpC0u7CbL/view?usp=drivesdk</t>
  </si>
  <si>
    <t>woman lying on bed (00:00 - 00:10), woman wearing face mask (00:00 - 00:10), woman wearing glasses (00:00 - 00:10), woman holding phone (00:00 - 00:10), woman looking at phone (00:00 - 00:10), woman smiling (00:03 - 00:07), woman talking (00:04 - 00:07)</t>
  </si>
  <si>
    <t>https://drive.google.com/file/d/1Li4zcwXjUVfAx8EEpvF6oIAw8gCzD03v/view?usp=drivesdk</t>
  </si>
  <si>
    <t>woman and girl, text</t>
  </si>
  <si>
    <t>woman pointing at paper, girl touching her hair (00:00 - 00:04), woman looking at girl, girl touching her hair (00:04 - 00:06), woman pointing finger up, girl touching her hair (00:06 - 00:07), woman smiling and holding tablet, girl touching her hair (00:07 - 00:08), woman holding tablet and pointing at paper, girl leaning on woman (00:08 - 00:10), woman holding tablet and pointing at paper, girl leaning on woman (00:13 - 00:15), woman holding tablet, girl leaning on woman and smiling (00:10 - 00:13), text CapCut appearing on screen (00:15 - 00:18)</t>
  </si>
  <si>
    <t>https://drive.google.com/file/d/1s2KBX55LZdlCA4_vQWMWUNEfKCL9Yerp/view?usp=drivesdk</t>
  </si>
  <si>
    <t>girl, woman</t>
  </si>
  <si>
    <t>girl covers her eyes (00:00 - 00:01), woman holds a tablet and smiles (00:00 - 00:04), girl puts her hands on her head (00:01 - 00:02), girl raises her arms (00:02 - 00:04), girl clenches her hands near her face and smiles (00:04 - 00:06), woman holds a tablet, smiles, and gives a thumbs up (00:04 - 00:12), girl waves her hand and smiles (00:06 - 00:09), girl points at the camera and smiles (00:07 - 00:10), girl raises her arms and smiles (00:10 - 00:11), girl lowers her arms (00:11 - 00:12)</t>
  </si>
  <si>
    <t>https://drive.google.com/file/d/1m8HxnJ8Mr98j3QcXPPS4E4tB16OAyIEG/view?usp=drivesdk</t>
  </si>
  <si>
    <t>girl playing with a toy (00:00 - 00:13)</t>
  </si>
  <si>
    <t>https://drive.google.com/file/d/1iFPozKYNdagFcGMGquTNbxEExaKmrfXC/view?usp=drivesdk</t>
  </si>
  <si>
    <t>girl typing on tablet (00:00 - 00:01), girl tapping on tablet (00:01 - 00:04), girl tapping on tablet (00:07 - 00:09), girl watching tablet (00:04 - 00:07), girl making a happy gesture (00:09 - 00:11), girl raising hands in celebration (00:11 - 00:15)</t>
  </si>
  <si>
    <t>https://drive.google.com/file/d/1pH8055lykcd46tl69XG7gcQukk5qOArq/view?usp=drivesdk</t>
  </si>
  <si>
    <t>A hand, A girl</t>
  </si>
  <si>
    <t>A hand touches tablet (00:00 - 00:02), A hand taps button on tablet (00:02 - 00:04), A hand taps watch button on tablet (00:04 - 00:06), A girl holds tablet (00:06 - 00:10), A girl watches tablet and smiles (00:10 - 00:13)</t>
  </si>
  <si>
    <t>Serena</t>
  </si>
  <si>
    <t>Serena_Child_Question.mp4</t>
  </si>
  <si>
    <t>https://drive.google.com/file/d/1Zg_sqKqqND8HoxKUQ-enzVKOKucu72k7/view?usp=drivesdk</t>
  </si>
  <si>
    <t>girl drawing on tablet (00:00 - 00:23), girl looking at tablet (00:23 - 00:24), girl looking at tablet (00:27 - 00:28), girl smiling at camera (00:24 - 00:27)</t>
  </si>
  <si>
    <t>Serena_ParentChild_Assessment_PassingKooBits.mp4</t>
  </si>
  <si>
    <t>https://drive.google.com/file/d/1es7065Sld5_Xgvjo2kVQzEuhYGuLJdxu/view?usp=drivesdk</t>
  </si>
  <si>
    <t>woman and girl writing (00:00 - 00:03), woman and girl writing (00:05 - 00:06), woman and girl writing (00:10 - 00:12), woman and girl looking at paper (00:03 - 00:10), woman showing tablet to girl (00:12 - 00:15), woman talking to girl (00:15 - 00:18), woman and girl smiling and holding tablet (00:18 - 00:21)</t>
  </si>
  <si>
    <t>Serena_Child_PassPaper1.mp4</t>
  </si>
  <si>
    <t>https://drive.google.com/file/d/1qyU4VCjJEauGoip0tnttbH2-C4-Hs8mo/view?usp=drivesdk</t>
  </si>
  <si>
    <t>girl sitting and looking at paper (00:00), girl opening mouth and laughing (00:00 - 00:02), girl laughing and holding papers (00:02 - 00:05), girl laughing and holding papers (00:15 - 00:21), girl laughing and pointing at paper (00:05 - 00:10), girl smiling and holding papers (00:10 - 00:15)</t>
  </si>
  <si>
    <t>Serena_Parent_Relaxing.mp4</t>
  </si>
  <si>
    <t>https://drive.google.com/file/d/1Wo1v9C6TUBiHA9lh6f47EQrzI3WdxFOF/view?usp=drivesdk</t>
  </si>
  <si>
    <t>woman holds phone and tilts head (00:00 - 00:02), woman looks at phone and smiles (00:02 - 00:05), woman holds phone and touches chin (00:05 - 00:13), woman looks at phone, gestures, and smiles at camera (00:13 - 00:16)</t>
  </si>
  <si>
    <t>Serena_Parent_Assessment.mp4</t>
  </si>
  <si>
    <t>https://drive.google.com/file/d/17jpoM_9T9Exg8NORgCS5-QZuqS5tJ1DF/view?usp=drivesdk</t>
  </si>
  <si>
    <t>woman looking down at papers (00:00 - 00:02), woman turning pages and looking down (00:02 - 00:07), woman rapidly flipping through pages (00:07 - 00:13), woman turning pages (00:13 - 00:16), woman looking at camera (00:16 - 00:18), woman smiling and pointing upwards (00:18 - 00:22)</t>
  </si>
  <si>
    <t>Serena_ParentChild_Holding_KooBits.mp4</t>
  </si>
  <si>
    <t>https://drive.google.com/file/d/1rgXpraZKjSlVieS-axfDOMQU9nTzhdeH/view?usp=drivesdk</t>
  </si>
  <si>
    <t>woman smiling; girl looking at camera (00:00 - 00:01), woman holding tablet; girl looking at tablet (00:01 - 00:04), woman smiling; girl making peace sign (00:04 - 00:11), woman and girl looking down (00:11 - 00:12)</t>
  </si>
  <si>
    <t>Serena_Child_Playing.mp4</t>
  </si>
  <si>
    <t>https://drive.google.com/file/d/1Druz8gqE9FxNCvqU9EEJpCqTBV0feHOk/view?usp=drivesdk</t>
  </si>
  <si>
    <t>girl sharpening pencil (00:00 - 00:02), girl sharpening pencil (00:04 - 00:11), girl sharpening pencil (00:13 - 00:20), girl laughing and sharpening pencil (00:02 - 00:04), girl smiling and sharpening pencil (00:11 - 00:13)</t>
  </si>
  <si>
    <t>Serena_Child_Assessment.mp4</t>
  </si>
  <si>
    <t>https://drive.google.com/file/d/1bkdzxcUYgQLnbTAgQJgtaN4exqRAUHGz/view?usp=drivesdk</t>
  </si>
  <si>
    <t>girl writing in a book (00:00 - 00:02), girl writing on a blue table (00:02 - 00:04), girl writing on her book with a black pen (00:04 - 00:09), girl writing on the book and looking around (00:09 - 00:14), girl writing on the book and looking to her left (00:14 - 00:19), girl writing in her book and then looking up and smiling (00:19 - 00:24), girl writing in her book and then resting her chin on her hand (00:24 - 00:32)</t>
  </si>
  <si>
    <t>Serena_Child_PassPaper2.mp4</t>
  </si>
  <si>
    <t>https://drive.google.com/file/d/1vIvkoZXdSGmerMpWvU6IOOJ21pAeM4Oi/view?usp=drivesdk</t>
  </si>
  <si>
    <t>girl smiling and holding a book (00:00 - 00:02), girl looking down and flipping pages of a book (00:02 - 00:05), girl flipping pages of a book (00:05 - 00:10), girl flipping pages of a book (00:13 - 00:18), girl smiling and flipping pages of a book (00:10 - 00:13), girl looking at a book and smiling (00:18 - 00:21)</t>
  </si>
  <si>
    <t>Serena_Child_FailPaper.mp4</t>
  </si>
  <si>
    <t>https://drive.google.com/file/d/1lBxr95ErHZgNYZK5BHcVOASXgWdUjtzB/view?usp=drivesdk</t>
  </si>
  <si>
    <t>girl prepares to start (00:00 - 00:02), girl looks at papers (00:02 - 00:06), girl holds papers (00:06 - 00:11)</t>
  </si>
  <si>
    <t>https://drive.google.com/file/d/1J4LabQDh4jkv6aYtt9sZdfkHUF76BZ_Q/view?usp=drivesdk</t>
  </si>
  <si>
    <t>girl holding and looking at paper (00:00 - 00:10), girl looking up (00:10 - 00:13), girl looking at paper (00:13 - 00:18)</t>
  </si>
  <si>
    <t>https://drive.google.com/file/d/1ERKFM4sicFmRozuJVA3oC8e4GX-VIoOW/view?usp=drivesdk</t>
  </si>
  <si>
    <t>girl writing (00:00 - 00:05), girl looking up (00:05 - 00:08), girl thinking (00:08 - 00:13), girl putting hand to mouth (00:13 - 00:16), girl covering her face (00:16 - 00:25)</t>
  </si>
  <si>
    <t>https://drive.google.com/file/d/1Rz6-pSeOGnV7TiMxqBWDZRA17NYL_75A/view?usp=drivesdk</t>
  </si>
  <si>
    <t>girl assembling stacking toys (00:00 - 00:17)</t>
  </si>
  <si>
    <t>Jasmine_Child_Question_WOD.mov</t>
  </si>
  <si>
    <t>https://drive.google.com/file/d/1BTe8ghIIZfjVlzg0TSLeDpt4oBO5BYI6/view?usp=drivesdk</t>
  </si>
  <si>
    <t>girl interacting with tablet (00:00 - 00:42), girl looking at camera and smiling and raising fist (00:42 - 00:44)</t>
  </si>
  <si>
    <t>https://drive.google.com/file/d/1kvveCpiJ0HrbqgRrn_DfZc-Z07XJUTsg/view?usp=drivesdk</t>
  </si>
  <si>
    <t>woman tapping book (00:00 - 00:05), woman opening book (00:05 - 00:09), woman closing one book and opening another (00:09 - 00:15), woman looking at book with chin resting on hand (00:15 - 00:22), woman looking at book with hand on head (00:22 - 00:27), woman lifting head and looking away (00:27 - 00:30), woman resting chin on hand and looking up (00:30 - 00:34), woman raising index finger and smiling (00:34 - 00:39), woman raising index finger and smiling (00:46 - 00:51), woman closing book (00:39 - 00:41), woman tapping book and raising index finger (00:41 - 00:46)</t>
  </si>
  <si>
    <t>https://drive.google.com/file/d/1EATnjNk9cDBmXF3_VSX_KEFAHwAcWB0q/view?usp=drivesdk</t>
  </si>
  <si>
    <t>woman drinking from a glass (00:00 - 00:06), woman opening a container (00:06 - 00:12), woman taking out a cookie (00:12 - 00:14), woman eating a cookie (00:14 - 00:22)</t>
  </si>
  <si>
    <t>https://drive.google.com/file/d/170EjG2NftGaEjpXN9w9auFfIklq9rQgV/view?usp=drivesdk</t>
  </si>
  <si>
    <t>woman and girl, girl, woman</t>
  </si>
  <si>
    <t>woman and girl smiling and holding tablet (00:00 - 00:03), woman and girl smiling and holding tablet (00:07 - 00:11), girl looking at woman (00:03 - 00:07), woman smiling at girl (00:03 - 00:07)</t>
  </si>
  <si>
    <t>https://drive.google.com/file/d/1Nw4VfeC_SoFn_WUEI6odkhFe8CuELilT/view?usp=drivesdk</t>
  </si>
  <si>
    <t>person's hand, girl</t>
  </si>
  <si>
    <t>person's hand interacting with tablet (00:00 - 00:01), person's hand scrolling on tablet (00:01 - 00:04), person's hand tapping on tablet (00:04 - 00:06), person's hand tapping on tablet (00:08 - 00:15), person's hand tapping 'Watch' button on tablet (00:06 - 00:08), person's hand resting on table while video plays (00:15 - 00:18), girl watching tablet (00:18 - 00:24), girl tapping on tablet (00:24 - 00:28), girl pointing at tablet screen (00:28 - 00:30), girl tapping 'Go' button on tablet (00:30 - 00:32), girl tapping on tablet screen (00:32 - 00:35), girl tapping an item on a list on tablet (00:35 - 00:38), girl tapping on tablet screen, a question appears (00:38 - 00:40), girl looking at tablet (00:40 - 00:43), girl tapping an answer option on tablet (00:43 - 00:46), girl tapping 'Submit' button on tablet (00:46 - 00:48), girl looking at tablet showing 'THAT'S RIGHT' (00:48 - 00:50), girl turning to camera and giving thumbs up (00:50 - 00:52), girl smiling and giving thumbs up to camera (00:52 - 00:57)</t>
  </si>
  <si>
    <t>https://drive.google.com/file/d/12Nxc2ATkfX_jGhot7mMfq1s_P_RsIXZi/view?usp=drivesdk</t>
  </si>
  <si>
    <t>woman and girl, woman</t>
  </si>
  <si>
    <t>girl resting head on hand; woman looking at book (00:00 - 00:02), woman turning book pages; girl looking at book (00:02 - 00:04), girl writing in book; woman looking at book (00:04 - 00:06), woman speaking to girl; girl looking at woman (00:06 - 00:08), woman and girl looking at each other (00:08 - 00:10), woman gesturing with hand; woman putting finger to lips (00:10 - 00:12), woman putting finger to lips; woman gesturing to side (00:12 - 00:14), woman reaching for tablet off-screen (00:14 - 00:18), woman showing tablet to girl; woman smiling (00:18 - 00:20), woman pointing at tablet; woman smiling; girl looking at tablet; girl smiling; girl reaching for tablet (00:20 - 00:24), woman pointing at tablet; woman smiling; girl pointing at tablet; girl smiling (00:24 - 00:36)</t>
  </si>
  <si>
    <t>https://drive.google.com/file/d/1twLO3NgC9lwPBI_r7SKvokayYj4KvhFP/view?usp=drivesdk</t>
  </si>
  <si>
    <t>girl holds papers, girl smiles (00:00 - 00:02), girl holds papers, girl smiles (00:07 - 00:10), girl raises papers to camera (00:02 - 00:04), girl lowers papers, girl smiles at camera (00:04 - 00:07)</t>
  </si>
  <si>
    <t>https://drive.google.com/file/d/1DPQXRN9irAvhEFFG3bX1zCxC-ACsWqeY/view?usp=drivesdk</t>
  </si>
  <si>
    <t>girl holding papers (00:00 - 00:09)</t>
  </si>
  <si>
    <t>https://drive.google.com/file/d/1jzYvxOvlSKrGPes9jG0P6Q9_EpGd-5UE/view?usp=drivesdk</t>
  </si>
  <si>
    <t>girl resting chin on hand (00:00 - 00:01), girl touching head (00:01 - 00:02), girl holding hand on head (00:02 - 00:04), girl leaning head on hand (00:04 - 00:06), girl writing (00:06 - 00:07), girl resting head on hand (00:07 - 00:08)</t>
  </si>
  <si>
    <t>https://drive.google.com/file/d/1JXQ2qbz_lDU19YYqnB90lHyTmKJ7CW_c/view?usp=drivesdk</t>
  </si>
  <si>
    <t>girl leaning on hand (00:00 - 00:01), girl looking to left (00:01 - 00:02), girl reaching for toy (00:02 - 00:03), girl playing with toy (00:03 - 00:09)</t>
  </si>
  <si>
    <t>https://drive.google.com/file/d/1OTf8l974NEqFjJYsYo-7tpSC1Svos_k2/view?usp=drivesdk</t>
  </si>
  <si>
    <t>woman sitting on sofa (00:00 - 00:09), woman holding phone (00:00 - 00:09), woman holding glass (00:00 - 00:09), woman drinking from glass (00:00 - 00:02), woman drinking from glass (00:05 - 00:09), woman looking at phone (00:02 - 00:05)</t>
  </si>
  <si>
    <t>https://drive.google.com/file/d/1OXYX9277ahrnw2E5c1FiXgQkZ5G0lUdV/view?usp=drivesdk</t>
  </si>
  <si>
    <t>woman talking to girl (00:00 - 00:02), woman showing tablet (00:02 - 00:04), woman pointing at tablet, girl looking at tablet (00:04 - 00:09)</t>
  </si>
  <si>
    <t>https://drive.google.com/file/d/1UkgSG_cq8LH03ZIRssA2QwS32rQThxl-/view?usp=drivesdk</t>
  </si>
  <si>
    <t>woman and girl sitting at desk (00:00 - 00:01), woman and girl turning to camera (00:01 - 00:02), woman holding tablet and smiling (00:02 - 00:03), girl making hand gesture and smiling (00:03 - 00:04), woman gesturing at tablet (00:04 - 00:06), woman adjusting glasses (00:06 - 00:07), woman gesturing at tablet and smiling (00:07 - 00:09)</t>
  </si>
  <si>
    <t>Nessa_Child_Question_2.mov</t>
  </si>
  <si>
    <t>https://drive.google.com/file/d/1Z4t_xyf_MLoXeQQ3g6zt6zcTwsZa-jaj/view?usp=drivesdk</t>
  </si>
  <si>
    <t>girl sitting at desk (00:00 - 00:01), girl turning towards camera (00:01 - 00:02), girl smiling and looking at tablet (00:02 - 00:03), girl holding tablet and smiling (00:03 - 00:05), girl holding tablet towards camera (00:05 - 00:09)</t>
  </si>
  <si>
    <t>https://drive.google.com/file/d/1lGA5TRi4vDBUne1BOZ83RN-P5utLh8bi/view?usp=drivesdk</t>
  </si>
  <si>
    <t>woman is reading a book (00:00 - 00:02), woman is looking at a book and touching her forehead (00:02 - 00:06), woman is reading a book and pointing (00:06 - 00:08), woman is pointing up and smiling (00:08 - 00:13)</t>
  </si>
  <si>
    <t>https://drive.google.com/file/d/1FUEmqh0JhS8GyWdSu4EO5Yl1b3ujjJPa/view?usp=drivesdk</t>
  </si>
  <si>
    <t>No person, Girl</t>
  </si>
  <si>
    <t>Tablet displays game interface (00:00 - 00:01), Tablet displays loading screen (00:01 - 00:02), Girl touches tablet screen (00:02 - 00:05), Girl touches tablet screen (00:09 - 00:12), Girl raises arms (00:05 - 00:07), Girl reacts excitedly (00:07 - 00:09), Girl plugs cable into tablet (00:12 - 00:14), Girl looks at tablet (00:14 - 00:15)</t>
  </si>
  <si>
    <t>singapore.babydiary</t>
  </si>
  <si>
    <t>singapore.babydiary_perpetualuse_parentchildsmilinghappily.mp4</t>
  </si>
  <si>
    <t>https://drive.google.com/file/d/1YUIK6S8lWagyXhBwEDX67tTp03fPbs-N/view?usp=drivesdk</t>
  </si>
  <si>
    <t>woman, girl</t>
  </si>
  <si>
    <t>woman makes peace sign (00:00 - 00:01), woman smiles (00:00 - 00:03), girl smiles (00:00 - 00:03), woman gives thumbs up (00:01 - 00:03)</t>
  </si>
  <si>
    <t>simletseat</t>
  </si>
  <si>
    <t>simletseat_july2026_childassessment.mp4</t>
  </si>
  <si>
    <t>https://drive.google.com/file/d/1S-BKK9WIGRJZP_V6gEYq8JY-0PcFSx9V/view?usp=drivesdk</t>
  </si>
  <si>
    <t>boy looking at book and raising finger (00:00 - 00:03), boy putting hand on forehead (00:03 - 00:07)</t>
  </si>
  <si>
    <t>simletseat_july2026_childlaptop.mp4</t>
  </si>
  <si>
    <t>https://drive.google.com/file/d/15thRS5kSUqRZq81KYeOg35K5mJfLi11y/view?usp=drivesdk</t>
  </si>
  <si>
    <t>boy looking at laptop (00:00 - 00:02), boy raising arm and smiling (00:02 - 00:04)</t>
  </si>
  <si>
    <t>simletseat_july2026_childquestion.mp4</t>
  </si>
  <si>
    <t>https://drive.google.com/file/d/1l6u4762Tfe1bPYMZRubPwov6xR9A3Sr3/view?usp=drivesdk</t>
  </si>
  <si>
    <t>boy typing on laptop (00:00 - 00:05), boy typing on laptop (00:09 - 00:11), boy watching laptop screen (00:05 - 00:07), boy celebrating (00:07 - 00:09)</t>
  </si>
  <si>
    <t>simletseat_july2026_childvideo.mp4</t>
  </si>
  <si>
    <t>https://drive.google.com/file/d/1IK_h22qFIqdNw6XWynqOL4bjlK22whRC/view?usp=drivesdk</t>
  </si>
  <si>
    <t>boy looking at laptop with hands clasped (00:00 - 00:10), boy looking at laptop with hands clasped (00:13 - 00:15), boy raising his right arm (00:10 - 00:13)</t>
  </si>
  <si>
    <t>simletseat_july2026_parentaha.mp4</t>
  </si>
  <si>
    <t>https://drive.google.com/file/d/1WQkugrspDOXZQxzPWIIjB2_M0BZ_t9Np/view?usp=drivesdk</t>
  </si>
  <si>
    <t>woman looking right (00:00 - 00:01), woman looking up (00:01 - 00:02), woman pointing up and smiling at camera (00:02 - 00:04)</t>
  </si>
  <si>
    <t>simletseat_july2026_parentassessment.mp4</t>
  </si>
  <si>
    <t>https://drive.google.com/file/d/1a8Gvf3FnZXv3n1oGEvgT2dwo3ytvuNpR/view?usp=drivesdk</t>
  </si>
  <si>
    <t>woman looking at book and turning page (00:00 - 00:06), woman closing book and looking at camera (00:06 - 00:08)</t>
  </si>
  <si>
    <t>simletseat_july2026_parentchildassessment.mp4</t>
  </si>
  <si>
    <t>https://drive.google.com/file/d/1JSXyIAbqghnBGZzco4pDTowgdGOmmTqs/view?usp=drivesdk</t>
  </si>
  <si>
    <t>woman talks to boy (00:00 - 00:02), boy looks at woman (00:02 - 00:03), boy writes in book (00:03 - 00:05), woman looks up (00:05 - 00:07)</t>
  </si>
  <si>
    <t>simletseat_july2026_parentchildlovekoobits.mp4</t>
  </si>
  <si>
    <t>https://drive.google.com/file/d/1bvcZkQdAPoCovSo6nU-QE79zwH7RuhAE/view?usp=drivesdk</t>
  </si>
  <si>
    <t>woman and boy looking at laptop (00:00 - 00:01), woman talking to boy (00:01 - 00:02), boy looking at woman (00:01 - 00:02), boy flexing his arms (00:02 - 00:03), boy talking to woman (00:02 - 00:03), woman smiling at boy (00:02 - 00:03)</t>
  </si>
  <si>
    <t>simletseat_july2026_parentchildconfused.mp4</t>
  </si>
  <si>
    <t>https://drive.google.com/file/d/1xIWIYBdULczllp3UUnoG0Yc4_KGG6YsM/view?usp=drivesdk</t>
  </si>
  <si>
    <t>boy writing on book (00:00 - 00:07), woman watching boy (00:00 - 00:07), woman covering book with tablet (00:07 - 00:09), woman removing a book (00:09 - 00:10), woman placing a laptop on table (00:10 - 00:13)</t>
  </si>
  <si>
    <t>simletseat_july2026_parentchildsmilinghappily.mp4</t>
  </si>
  <si>
    <t>https://drive.google.com/file/d/1-s93MXTDm2aFLjRLIUHKVqoGovzLzKl5/view?usp=drivesdk</t>
  </si>
  <si>
    <t>woman and boy, woman, boy</t>
  </si>
  <si>
    <t>woman and boy looking at camera (00:00 - 00:05), woman and boy smiling (00:00 - 00:05), woman holding laptop (00:00 - 00:05), boy touching laptop (00:00 - 00:05)</t>
  </si>
  <si>
    <t>simletseat_july2026_parentrelax.mp4</t>
  </si>
  <si>
    <t>https://drive.google.com/file/d/1xxpo3jl9QLB2Ovtlz37tD06_PPlQjnnd/view?usp=drivesdk</t>
  </si>
  <si>
    <t>woman picking up mug (00:00 - 00:01), woman drinking from mug (00:01 - 00:05), woman lowering mug (00:05 - 00:07)</t>
  </si>
  <si>
    <t>singapore.babydiary_perpetualuse_childassessment.mov</t>
  </si>
  <si>
    <t>https://drive.google.com/file/d/1o-eiXXmDICErw8em8NyklSL73jugbu3N/view?usp=drivesdk</t>
  </si>
  <si>
    <t>girl doing homework (00:00 - 00:03)</t>
  </si>
  <si>
    <t>singapore.babydiary_perpetualuse_childquestion.mov</t>
  </si>
  <si>
    <t>https://drive.google.com/file/d/1diCDyFodn_sBkMT3R-uJJrneoEn5HiwE/view?usp=drivesdk</t>
  </si>
  <si>
    <t>girl pointing at laptop screen (00:00 - 00:02), girl looking at laptop screen (00:02 - 00:03), girl smiling at camera (00:03 - 00:05)</t>
  </si>
  <si>
    <t>singapore.babydiary_perpetualuse_childvideo.mov</t>
  </si>
  <si>
    <t>https://drive.google.com/file/d/1qzjOoczLORHf7w8w63RasdgH9itJTpCm/view?usp=drivesdk</t>
  </si>
  <si>
    <t>girl looking at laptop (00:00 - 00:01), girl turning head and smiling (00:01 - 00:02), girl smiling and raising hand to face (00:02 - 00:04)</t>
  </si>
  <si>
    <t>singapore.babydiary_perpetualuse_parentaha.mov</t>
  </si>
  <si>
    <t>https://drive.google.com/file/d/1NklRK7y5Eh4tcPuUJK86gCwQeWDFT2m7/view?usp=drivesdk</t>
  </si>
  <si>
    <t>woman looking up and thinking (00:00 - 00:01), woman looking around and thinking (00:01 - 00:03), woman touching her chin and thinking (00:03 - 00:05), woman smiling with a bright idea (00:05 - 00:06)</t>
  </si>
  <si>
    <t>singapore.babydiary_perpetualuse_parentassessment.mov</t>
  </si>
  <si>
    <t>https://drive.google.com/file/d/1icCDPLiYCvHXiJeUN3ZGTgqCI5TpFOem/view?usp=drivesdk</t>
  </si>
  <si>
    <t>woman holding book (00:00 - 00:04), woman looking up (00:00 - 00:02), woman looking forward (00:02 - 00:04), woman sighing (00:02 - 00:04)</t>
  </si>
  <si>
    <t>singapore.babydiary_perpetualuse_parentchildassessment.mov</t>
  </si>
  <si>
    <t>https://drive.google.com/file/d/11yMTXkFBHXDoIHYuPhApiiQK7JEh9EMv/view?usp=drivesdk</t>
  </si>
  <si>
    <t>girl points at book, woman smiles at girl (00:00 - 00:02), girl looks at woman, woman looks at girl (00:02 - 00:04), woman touches face, girl looks at book (00:04 - 00:06), woman looks at book, girl looks at woman (00:06 - 00:09)</t>
  </si>
  <si>
    <t>singapore.babydiary_perpetualuse_parentchildilovekoobits.mov</t>
  </si>
  <si>
    <t>https://drive.google.com/file/d/1jFpHC2PoPGWLCAvjRys0JBO-l9Z5TG-Y/view?usp=drivesdk</t>
  </si>
  <si>
    <t>woman and girl looking at laptop (00:00 - 00:05), girl touching laptop keyboard (00:00 - 00:05), woman exclaiming (00:05 - 00:06), woman and girl smiling (00:05 - 00:11), woman asking question (00:06 - 00:09), girl answering question (00:07 - 00:09), woman clapping hands (00:09 - 00:10), girl giving thumbs up (00:10 - 00:11)</t>
  </si>
  <si>
    <t>singapore.babydiary_perpetualuse_parentchildsmilinghappily.mov</t>
  </si>
  <si>
    <t>https://drive.google.com/file/d/1ORfLMztsC6ByLhrK6wrDNoM0swwfesk0/view?usp=drivesdk</t>
  </si>
  <si>
    <t>woman making a peace sign, woman and girl smiling (00:00), woman giving thumbs up, woman and girl smiling (00:00 - 00:03)</t>
  </si>
  <si>
    <t>singapore.babydiary_perpetualuse_parentchildsmilinghappily2.mov</t>
  </si>
  <si>
    <t>https://drive.google.com/file/d/1uo8pXCuvsUQCBd-BPpYApfE6QlkW3t1h/view?usp=drivesdk</t>
  </si>
  <si>
    <t>woman and girl looking at each other (00:00 - 00:01), woman opening laptop (00:01 - 00:03), woman and girl smiling (00:03 - 00:04)</t>
  </si>
  <si>
    <t>singapore.babydiary_perpetualuse_parentrelax.mov</t>
  </si>
  <si>
    <t>https://drive.google.com/file/d/1FmzcLpjPkR5CAkJEv9J5eYjpoEL3fXBH/view?usp=drivesdk</t>
  </si>
  <si>
    <t>woman smiling (00:00 - 00:03), woman holding mug (00:00 - 00:03), woman holding phone (00:00 - 00:03)</t>
  </si>
  <si>
    <t>Caca Mama</t>
  </si>
  <si>
    <t>Caca Mama_Mar27_Parentkid_UseKooBits.mov</t>
  </si>
  <si>
    <t>https://drive.google.com/file/d/15i9eUmMBsm_VeVampIp_kgEzEYIoF_US/view?usp=drivesdk</t>
  </si>
  <si>
    <t>woman talks to boy (00:00 - 00:08), woman shows tablet to boy (00:08 - 00:11), woman and boy look at tablet (00:11 - 00:18)</t>
  </si>
  <si>
    <t>Caca Mama_Mar27_Parentkid_Smiling.mov</t>
  </si>
  <si>
    <t>https://drive.google.com/file/d/16PFOuL3WEstvd6bBY3HlWG0QLwKxQHp9/view?usp=drivesdk</t>
  </si>
  <si>
    <t>woman smiling and holding tablet, boy smiling and giving thumbs up (00:00 - 00:09)</t>
  </si>
  <si>
    <t>Caca Mama_Mar27_Kid_IpadDC.mov</t>
  </si>
  <si>
    <t>https://drive.google.com/file/d/1MDm3iabBMeeUfoHr7NnnDma1Irq7OFBR/view?usp=drivesdk</t>
  </si>
  <si>
    <t>boy writes in a book (00:00 - 00:03), boy claps his hands (00:03 - 00:04), boy rests his head on his hand (00:04 - 00:07), boy and another person give a high-five (00:07 - 00:10), boy moves his book and picks up a tablet (00:10 - 00:14), boy looks at the tablet screen (00:14 - 00:17), boy taps the tablet screen (00:17 - 00:23)</t>
  </si>
  <si>
    <t>Caca Mama_Mar27_Kid_WatchKooClass.mov</t>
  </si>
  <si>
    <t>https://drive.google.com/file/d/1SraLtbA6P1AGfmXsl5RVXdmL5lW6OJx8/view?usp=drivesdk</t>
  </si>
  <si>
    <t>boy watching tablet (00:00 - 00:48), boy watching tablet (00:58 - 01:06), boy touching tablet screen (00:41 - 00:42), boy touching tablet screen (00:48 - 00:58), boy touching tablet screen (01:06 - 01:13), boy touching tablet screen (01:17 - 01:21), boy typing on tablet (01:13 - 01:17), boy typing on tablet (01:21 - 01:25), boy looking at tablet (01:25 - 01:27), boy smiling and cheering (01:27 - 01:29)</t>
  </si>
  <si>
    <t>Caca Mama_Mar27_Kid_Playtoy.mov</t>
  </si>
  <si>
    <t>https://drive.google.com/file/d/1dq5Ews7VO0sr8f2JBodxucA3fP6dSSaG/view?usp=drivesdk</t>
  </si>
  <si>
    <t>boy scratching head (00:00 - 00:01), boy grabbing toy plane (00:01 - 00:02), boy playing with toy plane (00:02 - 00:05), boy playing with toy plane (00:07 - 00:09), boy smiling and playing with toy plane (00:05 - 00:07), boy twisting toy plane (00:09 - 00:11), boy putting toy plane down (00:11 - 00:12)</t>
  </si>
  <si>
    <t>Caca Mama_Mar27_Kid_WatchYT.mov</t>
  </si>
  <si>
    <t>https://drive.google.com/file/d/1SYI_pqY2c_xsl5nFrZW_EhfHZ-YTXTiA/view?usp=drivesdk</t>
  </si>
  <si>
    <t>boy is sitting (00:00 - 00:01), boy closes book (00:01 - 00:02), boy picks up tablet (00:02 - 00:04), boy taps tablet screen (00:04 - 00:05), boy taps tablet screen (00:07 - 00:10), boy swipes tablet screen (00:05 - 00:07), boy watches tablet (00:10 - 00:12)</t>
  </si>
  <si>
    <t>Caca Mama_Mar27_Kid_Countingfinger.mov</t>
  </si>
  <si>
    <t>https://drive.google.com/file/d/1Fg_O6QMfW6x4n1Xc3a0PF49Vnt495dAH/view?usp=drivesdk</t>
  </si>
  <si>
    <t>boy is writing in a book (00:00 - 00:01), boy is counting with his fingers (00:01 - 00:09), boy is putting his head down (00:09 - 00:13)</t>
  </si>
  <si>
    <t>Caca Mama_Mar27_Kid_Confused.mov</t>
  </si>
  <si>
    <t>https://drive.google.com/file/d/16cYZ_xORKBSYfa_Vv01clTEn8av63DjZ/view?usp=drivesdk</t>
  </si>
  <si>
    <t>boy writing on paper (00:00 - 00:03), boy covering face with hands (00:03 - 00:06), boy looking up and smiling (00:06 - 00:11)</t>
  </si>
  <si>
    <t>Caca Mama_Mar27_Kid_DC.mov</t>
  </si>
  <si>
    <t>https://drive.google.com/file/d/1cKl3fGNKuQ-1nNz3w31g3B2QbrBWFDvp/view?usp=drivesdk</t>
  </si>
  <si>
    <t>boy touches tablet (00:00 - 00:07), boy raises fists and celebrates (00:07 - 00:11)</t>
  </si>
  <si>
    <t>Caca Mama_Mar27_Kid_Lowscore.mov</t>
  </si>
  <si>
    <t>https://drive.google.com/file/d/1qpH7nkWsncmrnPnQL0gyHSiaH-0t1osQ/view?usp=drivesdk</t>
  </si>
  <si>
    <t>boy sighing (00:00 - 00:04), boy clenching his hand (00:04 - 00:05), boy tapping on the paper (00:05 - 00:06), boy looking at the paper (00:06 - 00:08), boy looking at the paper (00:10 - 00:13), boy looking at the paper (00:15 - 00:17), boy turning the page (00:08 - 00:10), boy touching the paper (00:13 - 00:15)</t>
  </si>
  <si>
    <t>Caca Mama_Mar27_Kid_Highscore.mov</t>
  </si>
  <si>
    <t>https://drive.google.com/file/d/17VPmfsX5UmQCWk7NBIoj7-X9sy8sBAss/view?usp=drivesdk</t>
  </si>
  <si>
    <t>boy speaking (00:00 - 00:03), boy holding paper (00:03 - 00:11), boy giving thumbs up (00:09 - 00:11)</t>
  </si>
  <si>
    <t>Caca Mama_Mar27_Parent_Confused.mov</t>
  </si>
  <si>
    <t>https://drive.google.com/file/d/1Gdl2PV9JwSMyoaUvzRblQTqbLg4gyv1Z/view?usp=drivesdk</t>
  </si>
  <si>
    <t>woman looking at papers (00:00 - 00:04), woman flipping papers (00:04 - 00:07), woman gesturing with hands (00:07 - 00:09), woman resting head on hand (00:09 - 00:13), woman looking around (00:13 - 00:15)</t>
  </si>
  <si>
    <t>Caca Mama_Mar27_Parent_Aha.mov</t>
  </si>
  <si>
    <t>https://drive.google.com/file/d/17rJ6K3C3kgvWHoO_Y4ddFVFcpr68xCN8/view?usp=drivesdk</t>
  </si>
  <si>
    <t>woman holding and flipping pages of a book (00:00 - 00:03), woman closing a book (00:03 - 00:05), woman pointing index finger up (00:05 - 00:08), woman looking at camera and smiling (00:08 - 00:09)</t>
  </si>
  <si>
    <t>Caca Mama_Mar27_Parent_Relax.mov</t>
  </si>
  <si>
    <t>https://drive.google.com/file/d/1Ea2PHYOcBr4Rqi7hpMj8rIu994MqfoPT/view?usp=drivesdk</t>
  </si>
  <si>
    <t>woman holding cup (00:00 - 00:02), woman drinking from cup (00:02 - 00:07), woman holding cup and smiling (00:07 - 00:10)</t>
  </si>
  <si>
    <t>Caca Mama_Mar27_Parent_Relax(1).mov</t>
  </si>
  <si>
    <t>https://drive.google.com/file/d/1wJJvSUBQevkwGXxIKpG1rFrr5NktZ4-W/view?usp=drivesdk</t>
  </si>
  <si>
    <t>woman holding tablet and cup (00:00 - 00:02), woman drinking from cup (00:02 - 00:03), woman lowering cup (00:03 - 00:05), woman smiling at tablet (00:05 - 00:08)</t>
  </si>
  <si>
    <t>Katie</t>
  </si>
  <si>
    <t>Katie_Feb2027_ParentChild_smiling.mov</t>
  </si>
  <si>
    <t>https://drive.google.com/file/d/1UqTEls4xiGztW-mA65x6sF1EDKP8kY1J/view?usp=drivesdk</t>
  </si>
  <si>
    <t>girl and man, girl</t>
  </si>
  <si>
    <t>girl and man looking at tablet (00:00 - 00:01), girl and man looking at tablet (00:22 - 00:25), girl holding tablet and pointing at screen (00:01 - 00:03), girl tapping button on tablet (00:03 - 00:04), girl tapping button on tablet (00:10 - 00:12), girl looking at tablet screen (00:04 - 00:05), girl looking at tablet screen (00:20 - 00:22), girl looking at tablet showing results (00:05 - 00:09), girl scrolling on tablet (00:09 - 00:10), girl tapping on input field (00:12 - 00:14), girl typing on tablet keyboard (00:14 - 00:18), girl tapping submit button (00:18 - 00:20), girl smiling and man smiling at camera (00:25 - 00:30)</t>
  </si>
  <si>
    <t>Katie_Feb2027_ParentChild_use KooBits.mov</t>
  </si>
  <si>
    <t>https://drive.google.com/file/d/1k5bOPltpzd8Mu7RlkO8Z1SHiOLgcDFpi/view?usp=drivesdk</t>
  </si>
  <si>
    <t>man and girl, girl</t>
  </si>
  <si>
    <t>man writing on paper (00:00 - 00:03), man writing on paper (00:06 - 00:10), girl pouting and looking at paper (00:03 - 00:06), girl resting her head on hand (00:10 - 00:14), girl pointing finger up (00:14 - 00:19), girl picking up tablet (00:19 - 00:23), girl smiling and looking at tablet (00:23 - 00:26), girl touching tablet screen (00:26 - 00:30), girl scrolling on tablet (00:30 - 00:32), girl tapping on tablet to open keyboard (00:32 - 00:35), girl typing on tablet keyboard (00:35 - 00:41), girl looking at tablet screen with man (00:41 - 00:43), girl smiling and making V-sign (00:43 - 00:45)</t>
  </si>
  <si>
    <t>Katie_Feb2027_Child_Lowscore.mp4</t>
  </si>
  <si>
    <t>https://drive.google.com/file/d/17SzH0X9TqKqq03KhGwoG3GXRzE9q4L_2/view?usp=drivesdk</t>
  </si>
  <si>
    <t>girl looks to the side and makes a face (00:00 - 00:06), girl touches her forehead (00:06 - 00:08), girl holds up a paper with calculations (00:08 - 00:15)</t>
  </si>
  <si>
    <t>Katie_Feb2027_Child_DC.mov</t>
  </si>
  <si>
    <t>https://drive.google.com/file/d/1LyyQDlIInyOjq7bee1vGDfBMitQA3rTm/view?usp=drivesdk</t>
  </si>
  <si>
    <t>girl, girl and man</t>
  </si>
  <si>
    <t>girl interacting with tablet (00:00 - 00:02), girl typing on tablet (00:02 - 00:11), girl smiling and cheering, man giving thumbs up (00:11 - 00:14)</t>
  </si>
  <si>
    <t>Katie_Feb2027_Child_use KooBits.mov</t>
  </si>
  <si>
    <t>https://drive.google.com/file/d/1fRGAhpiz5JEoMmko6FpGztAGIfaSg9EA/view?usp=drivesdk</t>
  </si>
  <si>
    <t>girl writing and resting hand on forehead (00:00 - 00:04), girl resting hand on chin (00:04 - 00:07), girl writing in a book (00:07 - 00:09), girl reaching for tablet (00:09 - 00:10), girl picking up tablet and smiling (00:10 - 00:11), girl looking at tablet (00:11 - 00:14), girl tapping on tablet (00:14 - 00:22)</t>
  </si>
  <si>
    <t>Katie_Feb2027_Parent_relax.mov</t>
  </si>
  <si>
    <t>https://drive.google.com/file/d/1VOy76tjTwhkURkoAUXYUFHGnl19wJoAR/view?usp=drivesdk</t>
  </si>
  <si>
    <t>man</t>
  </si>
  <si>
    <t>man is drinking from a glass and watching a tablet (00:00 - 00:07), man is smiling (00:07 - 00:09), man is watching a tablet and holding a glass (00:09 - 00:10)</t>
  </si>
  <si>
    <t>Katie_Feb2027_Parent_aha.mov</t>
  </si>
  <si>
    <t>https://drive.google.com/file/d/1PTMnblOTvBxVFk-I6ytJdfVr1rkZxUKU/view?usp=drivesdk</t>
  </si>
  <si>
    <t>man holds book and bites finger (00:00 - 00:05), man removes finger from mouth and looks up (00:05 - 00:08), man raises index finger and smiles (00:08 - 00:10)</t>
  </si>
  <si>
    <t>Katie_Feb2027_Parent_confused.mov</t>
  </si>
  <si>
    <t>https://drive.google.com/file/d/1APaMGV6uISI1mKgP4rbwlLjpze49EhrE/view?usp=drivesdk</t>
  </si>
  <si>
    <t>man is holding a book and looking at it (00:00 - 00:05), man is writing in the book (00:02 - 00:03), man is writing in the book (00:05 - 00:10)</t>
  </si>
  <si>
    <t>Katie_Feb2027_Childconvused 2.mov</t>
  </si>
  <si>
    <t>https://drive.google.com/file/d/1NlB8TH7qhARAEGdS0P_DYluimPjojiMh/view?usp=drivesdk</t>
  </si>
  <si>
    <t>girl writing on a notebook (00:00 - 00:05), girl resting her head on her hand (00:05 - 00:06), girl resting her head on the table (00:06 - 00:10)</t>
  </si>
  <si>
    <t>Katie_Feb2027_Child_Youtube.mov</t>
  </si>
  <si>
    <t>https://drive.google.com/file/d/18iEb0Lf4HnzueiGFHy0MELnGPOVFrMhe/view?usp=drivesdk</t>
  </si>
  <si>
    <t>girl writes in a book (00:00 - 00:10), girl writes in a book (00:13 - 00:16), girl rests chin on hand (00:10 - 00:13), girl puts down pencil and reaches for tablet (00:16 - 00:18), girl pulls tablet onto desk and watches video (00:18 - 00:21)</t>
  </si>
  <si>
    <t>Katie_Feb2027_Childplayingtoy.mov</t>
  </si>
  <si>
    <t>https://drive.google.com/file/d/1wT27ek0xzCPNIUD4CG3pSoL-gQO1iQY3/view?usp=drivesdk</t>
  </si>
  <si>
    <t>girl writing in book (00:00 - 00:04), girl picking up mirror (00:04 - 00:05), girl looking in mirror (00:05 - 00:10), girl holding mirror (00:10 - 00:13)</t>
  </si>
  <si>
    <t>Katie_Feb2027_Child_watchingtutorial.mov</t>
  </si>
  <si>
    <t>https://drive.google.com/file/d/1532nKE_y6WYMPHYq4N69qt3_Cb3cBjpx/view?usp=drivesdk</t>
  </si>
  <si>
    <t>girl looking at tablet (00:00 - 00:10), girl tapping on tablet (00:01 - 00:02), girl turning her head (00:07 - 00:08), girl looking down (00:10 - 00:11), girl smiling (00:11 - 00:17), girl making a peace sign (00:17 - 00:18)</t>
  </si>
  <si>
    <t>Katie_Feb2027_ChildDC.mov</t>
  </si>
  <si>
    <t>https://drive.google.com/file/d/1F-RFjIqGL_S7qB-pHSqcwsUkWgUriRFU/view?usp=drivesdk</t>
  </si>
  <si>
    <t>girl looks at tablet (00:00 - 00:02), girl touches tablet (00:02 - 00:04), girl taps tablet (00:04 - 00:09), girl lifts hand from tablet (00:09 - 00:10)</t>
  </si>
  <si>
    <t>Katie_Feb2027_Childconfused.mov</t>
  </si>
  <si>
    <t>https://drive.google.com/file/d/1Y1Pb6g802i9y3ztWpk8o6Ul5UXvF0JEr/view?usp=drivesdk</t>
  </si>
  <si>
    <t>girl writes in a book (00:00 - 00:04), girl rubs her head and writes (00:04 - 00:06), girl rests her head on hand and writes (00:06 - 00:08), girl rubs her head (00:08 - 00:10), girl pouts and rubs her head (00:10 - 00:13)</t>
  </si>
  <si>
    <t>Katie_Feb2027_Childlowscore.mov</t>
  </si>
  <si>
    <t>https://drive.google.com/file/d/10I7pT5ZfsZlpHC-UJI8N_9k3GmSjRA4i/view?usp=drivesdk</t>
  </si>
  <si>
    <t>girl holds paper and looks at camera (00:00 - 00:02), girl rests her head on her hand while holding paper (00:02 - 00:04), girl holds paper while camera zooms in on paper (00:04 - 00:08), girl rests her head on her hand and holds paper (00:08 - 00:10)</t>
  </si>
  <si>
    <t>Kamisin</t>
  </si>
  <si>
    <t>Kamisin_Jan2027_Childplayingtoy.mov</t>
  </si>
  <si>
    <t>https://drive.google.com/file/d/11fQi5odE42RjcRZm6uNuoCxOhbb-0hTa/view?usp=drivesdk</t>
  </si>
  <si>
    <t>girl writing on a book (00:00 - 00:03), girl writing and smiling (00:03 - 00:09), girl playing with pen (00:09 - 00:15)</t>
  </si>
  <si>
    <t>Kamisin_Jan2027_Childlowscore.mov</t>
  </si>
  <si>
    <t>https://drive.google.com/file/d/1_OI0vgGG8SYqj7Op4X2wZpsswLIP6ULN/view?usp=drivesdk</t>
  </si>
  <si>
    <t>girl leaning on hands and looking at paper (00:00 - 00:13)</t>
  </si>
  <si>
    <t>Kamisin_Jan2027_Childlowscore(1).mov</t>
  </si>
  <si>
    <t>https://drive.google.com/file/d/1P3v4ElRL7QIGvsLVVm8Oc7i-AgfRyxBc/view?usp=drivesdk</t>
  </si>
  <si>
    <t>girl looking at paper (00:00 - 00:09), girl looking at camera (00:09 - 00:10)</t>
  </si>
  <si>
    <t>Kamisin_Jan2027_Childconfused.mov</t>
  </si>
  <si>
    <t>https://drive.google.com/file/d/1NA9ZvOytMQXTxbZenTamqC9tskPXa3Bt/view?usp=drivesdk</t>
  </si>
  <si>
    <t>girl writing in book (00:00 - 00:04), girl writing in book (00:06 - 00:10), girl using fingers to count (00:04 - 00:06), girl using fingers to count (00:10 - 00:12), girl closing book (00:12 - 00:14), girl smiling (00:14 - 00:16)</t>
  </si>
  <si>
    <t>Kamisin_Jan2027_Childhighscore.mov</t>
  </si>
  <si>
    <t>https://drive.google.com/file/d/1kbyzaITLuwRpXXSpk7YNy9JUctUzMs2D/view?usp=drivesdk</t>
  </si>
  <si>
    <t>girl smiles (00:00 - 00:03), girl smiles and raises hand (00:03 - 00:05), girl holds paper (00:05 - 00:10), girl holds paper and smiles (00:10 - 00:12)</t>
  </si>
  <si>
    <t>Kamisin_Jan2027_Childsleepy.mov</t>
  </si>
  <si>
    <t>https://drive.google.com/file/d/1JAKnCIPIh3Oh8tq6TXni9xGNDy4v2d94/view?usp=drivesdk</t>
  </si>
  <si>
    <t>girl resting head on hand (00:00 - 00:02), girl yawning (00:02 - 00:03), girl covering mouth with hand (00:03 - 00:05), girl smiling with eyes closed (00:05 - 00:10)</t>
  </si>
  <si>
    <t>Kamisin_Jan2027_ChildYoutube.mov</t>
  </si>
  <si>
    <t>https://drive.google.com/file/d/1AUKY6Q1T68h1110MiPGfCrATo4ukq2Dh/view?usp=drivesdk</t>
  </si>
  <si>
    <t>girl holding her head in hands (00:00 - 00:01), girl closing her book (00:01 - 00:02), girl placing book on the table (00:02 - 00:03), girl picking up pen (00:03 - 00:04), girl picking up tablet (00:04 - 00:05), girl opening tablet cover (00:05 - 00:06), girl setting up tablet stand (00:06 - 00:08), girl unlocking tablet (00:08 - 00:09), girl swiping on tablet (00:09 - 00:10), girl swiping on tablet (00:18 - 00:20), girl tapping on tablet (00:10 - 00:13), girl scrolling through photos on tablet (00:13 - 00:16), girl viewing a video on tablet (00:16 - 00:18)</t>
  </si>
  <si>
    <t>Kamisin_Jan2027_Childwatchingtutorial.mov</t>
  </si>
  <si>
    <t>https://drive.google.com/file/d/1FHST2g9z9ReyWpFlHyQEa3AD4XW39HBd/view?usp=drivesdk</t>
  </si>
  <si>
    <t>girl looking at tablet (00:00 - 00:27), girl moving hands (00:00 - 00:09), girl moving hands (00:11 - 00:27), girl smiling (00:27 - 00:29)</t>
  </si>
  <si>
    <t>Kamisin_Jan2027_ChildDC.mov</t>
  </si>
  <si>
    <t>https://drive.google.com/file/d/1ihqYFnXA3boyfdl-c3Af9wBTiv6UbA2C/view?usp=drivesdk</t>
  </si>
  <si>
    <t>girl touching tablet screen (00:00 - 00:07), girl touching tablet screen (00:09 - 00:12), girl smiling at camera (00:07 - 00:09)</t>
  </si>
  <si>
    <t>Kamisin_Jan2027_ParentChildsmiling.mov</t>
  </si>
  <si>
    <t>https://drive.google.com/file/d/1fWPjPVEaXo68PyyfJsoX_HMJj_rt9t3h/view?usp=drivesdk</t>
  </si>
  <si>
    <t>woman and girl looking at tablet (00:00 - 00:02), woman and girl smiling (00:02 - 00:03), woman and girl giving thumbs up (00:03 - 00:06), woman and girl pointing at tablet (00:06 - 00:09)</t>
  </si>
  <si>
    <t>Kamisin_Jan2027_Parentrelax.mov</t>
  </si>
  <si>
    <t>https://drive.google.com/file/d/1ZqLL2SoR_6TwLLPq_deXmgOof4pPkABV/view?usp=drivesdk</t>
  </si>
  <si>
    <t>woman smiling and looking at phone (00:00 - 00:04), woman looking at phone (00:04 - 00:07), woman drinking from cup and looking at phone (00:07 - 00:11)</t>
  </si>
  <si>
    <t>Kamisin_Jan2027_Parentconfused.mov</t>
  </si>
  <si>
    <t>https://drive.google.com/file/d/1HfaHKmJzfwXQAzQizJOSGaMUWIM11aEW/view?usp=drivesdk</t>
  </si>
  <si>
    <t>woman looking down at papers (00:00 - 00:01), woman turning pages (00:01 - 00:13)</t>
  </si>
  <si>
    <t>Kamisin_Jan2027_Parentaha.mov</t>
  </si>
  <si>
    <t>https://drive.google.com/file/d/1A2cXqtsQ4CbcyuKgPxPD961tmxF4L-X_/view?usp=drivesdk</t>
  </si>
  <si>
    <t>woman turning pages of a book (00:00 - 00:04), woman resting her chin on her hand and looking at the book (00:04 - 00:09), woman looking up and smiling (00:09 - 00:11)</t>
  </si>
  <si>
    <t>Kamisin_Jan2027_ParentChildipad.mov</t>
  </si>
  <si>
    <t>https://drive.google.com/file/d/1uPgGcGAlaRWkJE4JaPtI--uucXa-8el6/view?usp=drivesdk</t>
  </si>
  <si>
    <t>woman and girl looking at book (00:00 - 00:02), woman and girl talking (00:02 - 00:05), woman and girl smiling (00:05 - 00:07), woman holding tablet (00:07 - 00:09), woman and girl looking at tablet (00:09 - 00:11), woman and girl interacting with tablet (00:11 - 00:13), woman and girl pointing at tablet (00:13 - 00:15)</t>
  </si>
  <si>
    <t>Dadalam</t>
  </si>
  <si>
    <t>Dadalam_Jan2027_ChildpYoutube.mov</t>
  </si>
  <si>
    <t>https://drive.google.com/file/d/1Q0baljMrFsFKZPiWW4enLoFOxcJLXyxb/view?usp=drivesdk</t>
  </si>
  <si>
    <t>girl writing in book (00:00 - 00:03), girl turning page in book (00:03 - 00:07), girl placing tablet on table (00:07 - 00:09), girl scrolling on tablet (00:09 - 00:18)</t>
  </si>
  <si>
    <t xml:space="preserve"> Iamsabrinalau</t>
  </si>
  <si>
    <t xml:space="preserve"> Iamsabrinalau_Jan2027_Childhighscore1.mov</t>
  </si>
  <si>
    <t>https://drive.google.com/file/d/188wZIhJH0RQPIKU87sWGSGAZc6lppJTK/view?usp=drivesdk</t>
  </si>
  <si>
    <t>person, girl</t>
  </si>
  <si>
    <t>person's hands are present near a tablet (00:00 - 00:01), girl holds a paper and smiles (00:01 - 00:05)</t>
  </si>
  <si>
    <t>Dadalam_Jan2027_ChildDC.mov</t>
  </si>
  <si>
    <t>https://drive.google.com/file/d/1JmXn2y_n4NpOf5EBbukgF-2yhaoBbzz0/view?usp=drivesdk</t>
  </si>
  <si>
    <t>girl typing on tablet (00:00 - 00:05), girl tapping tablet (00:05 - 00:06), girl looking at tablet (00:06 - 00:07), girl smiling and giving thumbs-up (00:07 - 00:11)</t>
  </si>
  <si>
    <t>Dadalam_Jan2027_ParentChildsmiling.mov</t>
  </si>
  <si>
    <t>https://drive.google.com/file/d/1XR3VZIJuAxEcbRtjbV8rR8Bw628aVCCL/view?usp=drivesdk</t>
  </si>
  <si>
    <t>woman holding tablet, both looking at tablet (00:00 - 00:02), woman adjusting tablet, both looking at tablet (00:02 - 00:05), woman and girl smiling and giving thumbs up (00:05 - 00:09)</t>
  </si>
  <si>
    <t>Dadalam_Jan2027_ParentChildipad.mov</t>
  </si>
  <si>
    <t>https://drive.google.com/file/d/18gdxNqwd9_L83jaZqNcUUIJct4mHv8dL/view?usp=drivesdk</t>
  </si>
  <si>
    <t>woman helping girl write (00:00 - 00:04), girl looking up (00:02 - 00:03), woman looking at camera (00:04 - 00:05), girl looking at camera (00:05 - 00:06), woman placing tablet on table (00:06 - 00:07), woman showing tablet to girl (00:07 - 00:08), woman pointing at tablet screen (00:08 - 00:13), girl looking at woman (00:09 - 00:10), girl smiling (00:11 - 00:12), girl looking at tablet screen (00:13 - 00:14), woman adjusting tablet (00:14 - 00:15), woman and girl looking at tablet (00:15 - 00:16)</t>
  </si>
  <si>
    <t>Dadalam_Jan2027_Childlowscore.mov</t>
  </si>
  <si>
    <t>https://drive.google.com/file/d/11WbrF6s73UJdKgS7joSeINxGQoHtUBMX/view?usp=drivesdk</t>
  </si>
  <si>
    <t>girl holding paper (00:00 - 00:01), girl looking at paper (00:01 - 00:05), girl looking at paper (00:09 - 00:10), girl covering her face with paper (00:05 - 00:09), girl placing paper on table (00:10 - 00:13)</t>
  </si>
  <si>
    <t>Dadalam_Jan2027_Childhighscore.mov</t>
  </si>
  <si>
    <t>https://drive.google.com/file/d/1LamcrAv99mxtE-ryVCK4zj8-mfhTuPxn/view?usp=drivesdk</t>
  </si>
  <si>
    <t>girl reading a paper (00:00 - 00:03), girl smiling at camera (00:03 - 00:06), girl holding a paper (00:06 - 00:10)</t>
  </si>
  <si>
    <t>Dadalam_Jan2027_Childconfused.mov</t>
  </si>
  <si>
    <t>https://drive.google.com/file/d/1PzbnsCUeWB3MOIA-axhwIdkVlQwr1wjU/view?usp=drivesdk</t>
  </si>
  <si>
    <t>girl writing (00:00 - 00:01), girl pointing at book (00:01 - 00:02), girl looking at book (00:02 - 00:03), girl playing with fingers (00:03 - 00:09), girl resting head on hand (00:06 - 00:07), girl resting head on arm (00:09 - 00:14)</t>
  </si>
  <si>
    <t>Dadalam_Jan2027_Childconfused(1).mov</t>
  </si>
  <si>
    <t>https://drive.google.com/file/d/1MWUojd74trhPj08BYoYZpMS_g88B8oPK/view?usp=drivesdk</t>
  </si>
  <si>
    <t>girl writing in a book (00:00 - 00:02), girl writing in a book (00:09 - 00:12), girl scratching her head (00:02 - 00:04), girl resting her head on her hand (00:04 - 00:09), girl looking at a book (00:12 - 00:16)</t>
  </si>
  <si>
    <t>Dadalam_Jan2027_Childwatchingtutorial.mov</t>
  </si>
  <si>
    <t>https://drive.google.com/file/d/1xiF9cLDF9dR1hIWvyF9DJqLJbQVMPh-C/view?usp=drivesdk</t>
  </si>
  <si>
    <t>none, girl</t>
  </si>
  <si>
    <t>tablet displaying video (00:00 - 00:05), girl's hands resting on table (00:05 - 00:07), girl looking at tablet and smiling (00:07 - 00:15)</t>
  </si>
  <si>
    <t>Dadalam_Jan2027_Parentaha.mov</t>
  </si>
  <si>
    <t>https://drive.google.com/file/d/1xGcasUmnJFGwGFjpnEc5VrLH5WYngvH-/view?usp=drivesdk</t>
  </si>
  <si>
    <t>woman looking at book (00:00 - 00:02), woman turning book (00:02 - 00:03), woman flipping pages of book (00:03 - 00:05), woman closing book (00:05 - 00:06), woman thinking with book under chin (00:06 - 00:09), woman smiling and pointing at book (00:09 - 00:12)</t>
  </si>
  <si>
    <t>Dadalam_Jan2027_Parentconfused.mov</t>
  </si>
  <si>
    <t>https://drive.google.com/file/d/1IHQVmtar7Kyc5HalMA-IMnI8uCfjZbfV/view?usp=drivesdk</t>
  </si>
  <si>
    <t>woman looking down at a book (00:00 - 00:01), woman writing in a book (00:01 - 00:12), woman adjusting hand (00:05 - 00:06)</t>
  </si>
  <si>
    <t>Dadalam_Jan2027_Parentrelax.mov</t>
  </si>
  <si>
    <t>https://drive.google.com/file/d/1h8ARSVT8aHGCO3IWCcJLBjDhNiOZJ6oU/view?usp=drivesdk</t>
  </si>
  <si>
    <t>woman holding smartphone (00:00 - 00:09), woman looking at smartphone (00:00 - 00:09), woman smiling (00:00 - 00:09)</t>
  </si>
  <si>
    <t>Dadalam_Jan2027_Parentrelax(1).mov</t>
  </si>
  <si>
    <t>https://drive.google.com/file/d/1WEoCR32x8WdxfZrE6ne4YRXxkc6Mc_as/view?usp=drivesdk</t>
  </si>
  <si>
    <t>woman looking at phone (00:00 - 00:05), woman looking at phone (00:09 - 00:15), woman stretching (00:05 - 00:09)</t>
  </si>
  <si>
    <t xml:space="preserve"> Iamsabrinalau_Jan2027_Parentchildsmiling.mov</t>
  </si>
  <si>
    <t>https://drive.google.com/file/d/1Cg48Nho68-5Weiw7VG0FOrTkRCGAO9xe/view?usp=drivesdk</t>
  </si>
  <si>
    <t>woman touching tablet, girl watching (00:00 - 00:02), woman picking up tablet, girl watching (00:02 - 00:04), woman placing down and picking up tablet, girl watching (00:04 - 00:07), woman and girl looking at tablet, woman touching screen (00:07 - 00:12), woman holding tablet, girl giving thumbs up, woman and girl smiling (00:12 - 00:16), woman holding tablet, woman and girl giving thumbs up, woman and girl smiling (00:16 - 00:19)</t>
  </si>
  <si>
    <t xml:space="preserve"> Iamsabrinalau_Jan2027_Childconfused.mov</t>
  </si>
  <si>
    <t>https://drive.google.com/file/d/1MNjMPzoeC9wPz6zDeb-f8Z4gW-6yEZbI/view?usp=drivesdk</t>
  </si>
  <si>
    <t>girl counting on fingers (00:00 - 00:09), girl resting head on desk (00:09 - 00:15)</t>
  </si>
  <si>
    <t xml:space="preserve"> Iamsabrinalau_Jan2027_ChildYoutube.mov</t>
  </si>
  <si>
    <t>https://drive.google.com/file/d/1A447b_ebM6rJKoE3xGTy7vH2KSuKQwcD/view?usp=drivesdk</t>
  </si>
  <si>
    <t>girl writing in a book (00:00 - 00:09)</t>
  </si>
  <si>
    <t xml:space="preserve"> Iamsabrinalau_Jan2027_Parentaha.mov</t>
  </si>
  <si>
    <t>https://drive.google.com/file/d/1rxDUbEERzMaIxiAt5375HLSz5wbS5FH-/view?usp=drivesdk</t>
  </si>
  <si>
    <t>woman flipping pages of book (00:00 - 00:01), woman writing on book (00:01 - 00:05), woman looking down at book (00:05 - 00:10), woman flipping page of book (00:10 - 00:11), woman raising index finger (00:11 - 00:14)</t>
  </si>
  <si>
    <t xml:space="preserve"> Iamsabrinalau_Jan2027_Parentrelax.mov</t>
  </si>
  <si>
    <t>https://drive.google.com/file/d/1D7z_0Owd8ZpXpqA2ltCWZbBawqnAyWgW/view?usp=drivesdk</t>
  </si>
  <si>
    <t>woman looking down (00:00 - 00:02), woman picking up phone (00:02 - 00:03), woman drinking from cup while looking at phone (00:03 - 00:07), woman looking at phone (00:07 - 00:15), woman looking up at camera (00:15 - 00:16)</t>
  </si>
  <si>
    <t xml:space="preserve"> Iamsabrinalau_Jan2027_Parentconfused.mov</t>
  </si>
  <si>
    <t>https://drive.google.com/file/d/1gEEfpSUvax3m1z2KUOvvqxiv_esx-xI9/view?usp=drivesdk</t>
  </si>
  <si>
    <t>woman flipping pages (00:00 - 00:01), woman flipping pages (00:04 - 00:09), woman looking at papers (00:01 - 00:04), woman looking at papers (00:16 - 00:17), woman looking at papers and mumbling (00:09 - 00:16)</t>
  </si>
  <si>
    <t xml:space="preserve"> Iamsabrinalau_Jan2027_Childhighscore.mov</t>
  </si>
  <si>
    <t>https://drive.google.com/file/d/1HKgH_ubMDNXdwkX7azjKPQfLH-SGMjuZ/view?usp=drivesdk</t>
  </si>
  <si>
    <t>girl holds up a paper (00:00 - 00:02), girl smiles (00:02 - 00:06)</t>
  </si>
  <si>
    <t xml:space="preserve"> Iamsabrinalau_Jan2027_Childcountingfinger.mov</t>
  </si>
  <si>
    <t>https://drive.google.com/file/d/1UpuTGsNBJQCyToxCxhiW5jgazFPb89A0/view?usp=drivesdk</t>
  </si>
  <si>
    <t>girl writing on paper (00:00 - 00:08)</t>
  </si>
  <si>
    <t xml:space="preserve"> Iamsabrinalau_Jan2027_Childcountingfinger(1).mov</t>
  </si>
  <si>
    <t>https://drive.google.com/file/d/1_xSGmwmhbzEwao9rVpE2cRdFf37krhH2/view?usp=drivesdk</t>
  </si>
  <si>
    <t>girl writing on paper (00:00 - 00:01), girl looking at paper (00:01 - 00:03), girl resting chin on hand (00:03 - 00:05)</t>
  </si>
  <si>
    <t xml:space="preserve"> Iamsabrinalau_Jan2027_ChildDC2.mov</t>
  </si>
  <si>
    <t>https://drive.google.com/file/d/1pKsDQmju16dVUSrYHwhoJVU2QelGgQbE/view?usp=drivesdk</t>
  </si>
  <si>
    <t>girl sitting at a desk looking at a tablet (00:00 - 00:07), girl looking at camera and smiling (00:07 - 00:09), girl clenching her hand (00:09 - 00:12)</t>
  </si>
  <si>
    <t xml:space="preserve"> Iamsabrinalau_Jan2027_Childplayingpencil.mov</t>
  </si>
  <si>
    <t>https://drive.google.com/file/d/1S1WWXTWbO8LZLV4Kasyxc2onC27dF0ig/view?usp=drivesdk</t>
  </si>
  <si>
    <t>girl looking at book (00:00 - 00:06), girl resting head on book (00:06 - 00:10)</t>
  </si>
  <si>
    <t xml:space="preserve"> Iamsabrinalau_Jan2027_Childwatchingtutorial.mov</t>
  </si>
  <si>
    <t>https://drive.google.com/file/d/1N9J_lVoyo_hvgXHwRhTLw-5Li6T0sUIp/view?usp=drivesdk</t>
  </si>
  <si>
    <t>girl watching tablet (00:00 - 00:05), girl turning head and giving thumbs up (00:05 - 00:07), girl turning head back and watching tablet (00:07 - 00:10)</t>
  </si>
  <si>
    <t xml:space="preserve"> Iamsabrinalau_Jan2027_Childhighscore2.mov</t>
  </si>
  <si>
    <t>https://drive.google.com/file/d/1YfFNqab9NbQF3NiKUxXV6cw1gL6hbMG1/view?usp=drivesdk</t>
  </si>
  <si>
    <t>girl looking at camera (00:00 - 00:01), girl smiling (00:01 - 00:02), girl showing paper (00:02 - 00:05)</t>
  </si>
  <si>
    <t xml:space="preserve"> Iamsabrinalau_Jan2027_Childlowscore.mov</t>
  </si>
  <si>
    <t>https://drive.google.com/file/d/1pW5RxyCArHrYyg89IfE1X7r23rKjvWeN/view?usp=drivesdk</t>
  </si>
  <si>
    <t>girl's hand writing on paper (00:00 - 00:03), girl writing on paper (00:03 - 00:12)</t>
  </si>
  <si>
    <t xml:space="preserve"> Iamsabrinalau_Jan2027_ChildDC.mov</t>
  </si>
  <si>
    <t>https://drive.google.com/file/d/1iz1dUjkhmIRzwUO0FMnPCiBWD8TjJqxR/view?usp=drivesdk</t>
  </si>
  <si>
    <t>girl touching tablet screen (00:00 - 00:04), girl touching tablet screen (00:06 - 00:08), girl tapping tablet screen (00:04 - 00:06), girl tapping tablet screen (00:08 - 00:11), girl raising hands (00:11 - 00:13), girl smiling and looking at camera (00:13)</t>
  </si>
  <si>
    <t>3pigpigpig</t>
  </si>
  <si>
    <t>3pigpigpig_Dec2026_Parentchildipad.MOV</t>
  </si>
  <si>
    <t>https://drive.google.com/file/d/1QJUTfjMz8IHeHh3C335YfLmQY0A4jPlg/view?usp=drivesdk</t>
  </si>
  <si>
    <t>woman and girl, woman, girl</t>
  </si>
  <si>
    <t>woman and girl looking down (00:00 - 00:08), woman opening tablet (00:08 - 00:10), girl stretching arms up (00:10 - 00:12), woman and girl smiling at camera (00:12 - 00:15)</t>
  </si>
  <si>
    <t>3pigpigpig_Dec2026_Parentaha.MOV</t>
  </si>
  <si>
    <t>https://drive.google.com/file/d/1JFBH0NayzeZq_F4hUHtkz87eMGQxW793/view?usp=drivesdk</t>
  </si>
  <si>
    <t>woman writes on paper (00:00 - 00:02), woman touches her neck (00:02 - 00:04), woman looks around (00:04 - 00:06), woman points her finger up (00:06 - 00:08), woman smiles (00:08 - 00:09)</t>
  </si>
  <si>
    <t>3pigpigpig_Dec2026_Parentrelax.MOV</t>
  </si>
  <si>
    <t>https://drive.google.com/file/d/15XV9-2lFXiiUIxRUK5IHpYSfaMU6GoUx/view?usp=drivesdk</t>
  </si>
  <si>
    <t>woman sipping from mug while lying on couch and holding slipper (00:00 - 00:02), woman sipping from mug while lying on couch and holding slipper (00:14 - 00:16), woman smiling while lying on couch and holding mug and slipper (00:02 - 00:14), woman smiling while lying on couch and holding mug and slipper (00:16 - 00:18)</t>
  </si>
  <si>
    <t>3pigpigpig_Dec2026_Parentchildsmiling.MOV</t>
  </si>
  <si>
    <t>https://drive.google.com/file/d/1LIE5MV5Y4xUKPlH5GunbUAG6bZS8wOGZ/view?usp=drivesdk</t>
  </si>
  <si>
    <t>woman and girl looking at tablet (00:00 - 00:02), woman opening tablet cover (00:02 - 00:03), woman giving thumbs up, girl giving thumbs up (00:03 - 00:07)</t>
  </si>
  <si>
    <t>3pigpigpig_Dec2026_Childlowscore.MOV</t>
  </si>
  <si>
    <t>https://drive.google.com/file/d/1gD-IZEpTMMhEgWH2XI01gET5875uY6fx/view?usp=drivesdk</t>
  </si>
  <si>
    <t>girl rests head on hands (00:00 - 00:15)</t>
  </si>
  <si>
    <t>3pigpigpig_Dec2026_Childconfused.MOV</t>
  </si>
  <si>
    <t>https://drive.google.com/file/d/1Ft-QuAa1BiqGtpPVGbs0iwVaMS6Z203n/view?usp=drivesdk</t>
  </si>
  <si>
    <t>girl drawing on a paper (00:00 - 00:07), girl scratching her head (00:07 - 00:09), girl resting her chin on her hand (00:09 - 00:19)</t>
  </si>
  <si>
    <t>3pigpigpig_Dec2026_Childcountingfinger.MOV</t>
  </si>
  <si>
    <t>https://drive.google.com/file/d/18b3JQNT5Yl1h_DoHzcct4I458QDpajX5/view?usp=drivesdk</t>
  </si>
  <si>
    <t>girl looking at paper (00:00 - 00:07), girl resting head on table (00:07 - 00:13)</t>
  </si>
  <si>
    <t>3pigpigpig_Dec2026_ChildDC.MOV</t>
  </si>
  <si>
    <t>https://drive.google.com/file/d/1O0CTJldiCYP2wsD_WJZM2u_ZpEpuJ9Hs/view?usp=drivesdk</t>
  </si>
  <si>
    <t>girl interacting with tablet (00:00 - 00:12), girl turning to camera and smiling (00:12 - 00:19)</t>
  </si>
  <si>
    <t>3pigpigpig_Dec2026_Childhighscore.MOV</t>
  </si>
  <si>
    <t>https://drive.google.com/file/d/1FCAdfMe7J_cm9Xf-Pa5YpD6jKrhGFMav/view?usp=drivesdk</t>
  </si>
  <si>
    <t>girl holding paper (00:00 - 00:02), girl holding paper, girl smiling, girl laughing loudly (00:02 - 00:06)</t>
  </si>
  <si>
    <t>3pigpigpig_Dec2026_Childlowscore(1).MOV</t>
  </si>
  <si>
    <t>https://drive.google.com/file/d/1IVeO7R8B028x9wy1Z73ayo_Wm-Vy5Bsc/view?usp=drivesdk</t>
  </si>
  <si>
    <t>girl holding papers (00:00 - 00:03), girl looking at papers (00:03 - 00:09)</t>
  </si>
  <si>
    <t>yanxcky</t>
  </si>
  <si>
    <t>yanxcky_Dec2026_ParentChildipad.mov</t>
  </si>
  <si>
    <t>https://drive.google.com/file/d/1LSo_5ay-HjLoUUc9arcXdKOrQZ-erl8j/view?usp=drivesdk</t>
  </si>
  <si>
    <t>woman talking to girl and pointing at paper; girl looking at paper and writing (00:00 - 00:04), woman resting chin on hand and looking up, then looking at girl; girl writing on paper (00:04 - 00:08), woman moving away from girl; girl writing on paper (00:08 - 00:10), woman returning with tablet (00:10 - 00:11), woman and girl holding tablet and smiling; girl pointing at tablet (00:11 - 00:15)</t>
  </si>
  <si>
    <t>yanxcky_Dec2026_ParentChildsmiling.mov</t>
  </si>
  <si>
    <t>https://drive.google.com/file/d/1C8CJ3-r23QhHHO2diRSjVLmalFIrKIuH/view?usp=drivesdk</t>
  </si>
  <si>
    <t>woman, woman and girl</t>
  </si>
  <si>
    <t>woman points to tablet (00:00 - 00:01), woman and girl give thumbs up (00:01 - 00:08)</t>
  </si>
  <si>
    <t>yanxcky_Dec2026_Parentconfused.mov</t>
  </si>
  <si>
    <t>https://drive.google.com/file/d/1Bf6vqFVak8zjA-9-zzq5rTThPQnn2RDp/view?usp=drivesdk</t>
  </si>
  <si>
    <t>woman looking at paper (00:00 - 00:02), woman sighing (00:02 - 00:04), woman covering her face (00:04 - 00:09), woman touching her wrist (00:09 - 00:10)</t>
  </si>
  <si>
    <t>yanxcky_Dec2026_ParentAha.mov</t>
  </si>
  <si>
    <t>https://drive.google.com/file/d/1q2Y0bNwGNF2r3aSF-0b1tZ0uvM316xlB/view?usp=drivesdk</t>
  </si>
  <si>
    <t>woman resting hand on face and looking thoughtful (00:00 - 00:06), woman smiling and looking up (00:06 - 00:10)</t>
  </si>
  <si>
    <t>yanxcky_Dec2026_Parentrelax.mov</t>
  </si>
  <si>
    <t>https://drive.google.com/file/d/1iQCd19hnQhb5w7iwb_l1To-pdigjtvjM/view?usp=drivesdk</t>
  </si>
  <si>
    <t>woman holding a tablet (00:00 - 00:01), woman holding a tablet (00:06 - 00:09), woman drinking from a mug (00:01 - 00:05), woman placing down a mug (00:05 - 00:06)</t>
  </si>
  <si>
    <t>yanxcky_Dec2026_Childwrongquestion.mov</t>
  </si>
  <si>
    <t>https://drive.google.com/file/d/1_Vt_KWKCPbnqbx_4H-rPx_7LAKvOh7xM/view?usp=drivesdk</t>
  </si>
  <si>
    <t>girl touching head (00:00 - 00:01), girl touching eye (00:01 - 00:02), girl lifting head (00:02 - 00:03), girl lifting notebook (00:03 - 00:04), girl holding notebook up (00:04 - 00:08)</t>
  </si>
  <si>
    <t>yanxcky_Dec2026_Childplayingtoy.mov</t>
  </si>
  <si>
    <t>https://drive.google.com/file/d/1jGSfLbZBNOGQTLbYlcsjUxqjemJpzFGO/view?usp=drivesdk</t>
  </si>
  <si>
    <t>girl writing in a notebook (00:00 - 00:03), girl fiddling with an eraser (00:03 - 00:09)</t>
  </si>
  <si>
    <t>yanxcky_Dec2026_Childwatchtutorial.mov</t>
  </si>
  <si>
    <t>https://drive.google.com/file/d/19miz0XPoNzH-69ZHI0Kv0Tq9EuaZ-wXi/view?usp=drivesdk</t>
  </si>
  <si>
    <t>None, Girl</t>
  </si>
  <si>
    <t>Tablet displays mathematical equation (00:00 - 00:05), Tablet displays a star animation (00:05 - 00:07), Girl gives a thumbs up (00:07 - 00:11), Girl smiles at the camera (00:07 - 00:11)</t>
  </si>
  <si>
    <t>yanxcky_Dec2026_Childlowscore.mov</t>
  </si>
  <si>
    <t>https://drive.google.com/file/d/13MrArUyh69_luSKhGeO_ovZkCq07UvX0/view?usp=drivesdk</t>
  </si>
  <si>
    <t>girl looking at book (00:00 - 00:03), girl looking up (00:03 - 00:04), woman holding a paper (00:04 - 00:09)</t>
  </si>
  <si>
    <t>yanxcky_Dec2026_Childconfused.mov</t>
  </si>
  <si>
    <t>https://drive.google.com/file/d/1Qu_PE3NJ0DZAN_ux-NMyZnxiruKr6rxr/view?usp=drivesdk</t>
  </si>
  <si>
    <t>girl studying (00:00 - 00:04), girl scratching head (00:04 - 00:09), girl looking annoyed (00:09 - 00:11), girl using ruler (00:11 - 00:14)</t>
  </si>
  <si>
    <t>yanxcky_Dec2026_ChildYoutube.mov</t>
  </si>
  <si>
    <t>https://drive.google.com/file/d/1A4DUdrGZsW4JyphmCXxPef9O5A4YBKgy/view?usp=drivesdk</t>
  </si>
  <si>
    <t>girl writes in book (00:00 - 00:03), girl closes book (00:03 - 00:05), girl pushes book aside (00:05 - 00:07), girl picks up and looks at tablet (00:07 - 00:13)</t>
  </si>
  <si>
    <t>yanxcky_Dec2026_ChildDC.mov</t>
  </si>
  <si>
    <t>https://drive.google.com/file/d/1ChsMFqIrws-XlaSAMzML9xhG1TvPrf5Y/view?usp=drivesdk</t>
  </si>
  <si>
    <t>girl touching tablet (00:00 - 00:01), girl touching tablet (00:03 - 00:05), girl typing on tablet (00:01 - 00:03), girl looking at tablet (00:05 - 00:07), girl smiling and making peace signs with hands (00:07 - 00:10)</t>
  </si>
  <si>
    <t>yanxcky_Dec2026_Childconfused(1).mov</t>
  </si>
  <si>
    <t>https://drive.google.com/file/d/1UZbjB7VLrqJDefnzA9i7Jb5NV9MQ8-Rh/view?usp=drivesdk</t>
  </si>
  <si>
    <t>girl writing in a book (00:00 - 00:02), girl resting her head on her hand (00:02 - 00:04), girl scratching her ear (00:04 - 00:08), girl holding her head (00:08 - 00:10), girl resting her head on the book (00:10 - 00:15)</t>
  </si>
  <si>
    <t>yanxcky_Dec2026_Childcountingfinger.mov</t>
  </si>
  <si>
    <t>https://drive.google.com/file/d/181uTApV_PiWY5cj5rQMf-r5DsUe6HF-_/view?usp=drivesdk</t>
  </si>
  <si>
    <t>girl resting head on hand and looking down at book (00:00 - 00:06), girl resting head on hand and looking down at book (00:08 - 00:11), girl looking to the right and back down (00:06 - 00:08)</t>
  </si>
  <si>
    <t>yanxcky_Dec2026_Childhighscore.mov</t>
  </si>
  <si>
    <t>https://drive.google.com/file/d/1lWQfx7vnctmu4qbD_ivX0OYgxwmRuSmO/view?usp=drivesdk</t>
  </si>
  <si>
    <t>girl smiles and holds paper (00:00 - 00:04), girl holds paper close to camera (00:04 - 00:10)</t>
  </si>
  <si>
    <t>Scarlett</t>
  </si>
  <si>
    <t>Scarlett_Dec2026_ChildYoutube.mov</t>
  </si>
  <si>
    <t>https://drive.google.com/file/d/10I0TPY_9JFtS32aje0CEFagb7ZBJ_Te_/view?usp=drivesdk</t>
  </si>
  <si>
    <t>girl sitting at table (00:00 - 00:01), girl flipping pages (00:01 - 00:02), girl putting down book (00:02 - 00:03), girl holding pencil case (00:03 - 00:04), girl putting down pencil case (00:04 - 00:05), girl picking up phone (00:05 - 00:06), girl looking at phone (00:06 - 00:07), girl smiling at phone (00:07 - 00:08), girl laughing at phone (00:08 - 00:10)</t>
  </si>
  <si>
    <t>Scarlett_Dec2026_Childpeerchallenge.mov</t>
  </si>
  <si>
    <t>https://drive.google.com/file/d/14Ad4K5sHXy6JoMhmzCJpf0hyzbiuSH9A/view?usp=drivesdk</t>
  </si>
  <si>
    <t>girl using a tablet (00:00 - 00:02), girl typing on a tablet (00:02 - 00:04), girl tapping on the tablet (00:04 - 00:06), girl touching a pop-up on the tablet (00:06 - 00:08), girl looking at the tablet (00:08 - 00:10), girl looking at the camera (00:10 - 00:12), girl smiling at the camera (00:12 - 00:14)</t>
  </si>
  <si>
    <t>Scarlett_Dec2026_ParentAha.mov</t>
  </si>
  <si>
    <t>https://drive.google.com/file/d/1afaXqErNf5KpMOrAwlJ1-c59-s5cNh1g/view?usp=drivesdk</t>
  </si>
  <si>
    <t>woman puts hand on head (00:00 - 00:03), woman looks down at book (00:03 - 00:05), woman points finger up (00:05 - 00:11)</t>
  </si>
  <si>
    <t>Scarlett_Dec2026_Parentrelax.mov</t>
  </si>
  <si>
    <t>https://drive.google.com/file/d/1upEL445dg4dVzblyfYr7c7vNJn_V0RF4/view?usp=drivesdk</t>
  </si>
  <si>
    <t>woman smiling and looking at tablet (00:00 - 00:10)</t>
  </si>
  <si>
    <t>Scarlett_Dec2026_Parentconfused.mov</t>
  </si>
  <si>
    <t>https://drive.google.com/file/d/1BoBbg1d_OE5lpxyDLRe7KoJvqyBflHN2/view?usp=drivesdk</t>
  </si>
  <si>
    <t>woman looks at book and points with pen (00:00 - 00:03), woman flips page (00:03 - 00:05), woman places hand on forehead (00:05 - 00:09), woman looks at book (00:09 - 00:12)</t>
  </si>
  <si>
    <t>Scarlett_Dec2026_Childwatchtutorial.mov</t>
  </si>
  <si>
    <t>https://drive.google.com/file/d/1dydA0tLiV01OQkLUqA05G2ugZfI0byZJ/view?usp=drivesdk</t>
  </si>
  <si>
    <t>girl watching tablet (00:00 - 00:43), girl looking at camera (00:43 - 00:46), girl giving thumbs up (00:46 - 00:49)</t>
  </si>
  <si>
    <t>Scarlett_Dec2026_Childcountingfinger.mov</t>
  </si>
  <si>
    <t>https://drive.google.com/file/d/1tZ3AIsdBqzpB083DbI8mSv4HS7a1chYO/view?usp=drivesdk</t>
  </si>
  <si>
    <t>girl is holding a pencil and counting on fingers (00:00 - 00:02), girl is covering her eyes (00:02 - 00:04), girl is touching her head (00:04 - 00:07), girl is holding her head with both hands (00:07 - 00:09), girl is putting her face in her hands (00:09 - 00:11)</t>
  </si>
  <si>
    <t>Scarlett_Dec2026_Childplayingtoy.mov</t>
  </si>
  <si>
    <t>https://drive.google.com/file/d/1c-Odz42DFfISjLVoJlz49Vws9GI1ZqiK/view?usp=drivesdk</t>
  </si>
  <si>
    <t>girl picks up pen (00:00 - 00:02), girl holds toy (00:02 - 00:04), girl interacts with toy (00:04 - 00:07), girl puts down toy (00:07 - 00:09), girl picks up ruler (00:09 - 00:10), girl points with ruler (00:10 - 00:13)</t>
  </si>
  <si>
    <t>Scarlett_Dec2026_ChildDC.mov</t>
  </si>
  <si>
    <t>https://drive.google.com/file/d/1omAZt71hpIwE6AwovId_Jm2-cLToaTjE/view?usp=drivesdk</t>
  </si>
  <si>
    <t>girl, no visible character</t>
  </si>
  <si>
    <t>girl looking at tablet (00:00 - 00:01), girl typing on tablet (00:01 - 00:07), girl raising two fingers (00:07 - 00:10), tablet displaying screen (00:10 - 00:12)</t>
  </si>
  <si>
    <t>Scarlett_Dec2026_Childhighscore.mov</t>
  </si>
  <si>
    <t>https://drive.google.com/file/d/1Xt0Vn_BzLAtbhb39mISx2NM_U03wfpbp/view?usp=drivesdk</t>
  </si>
  <si>
    <t>girl holding paper and smiling (00:00 - 00:01), girl holding paper and smiling (00:03 - 00:05), girl shaking paper and smiling (00:01 - 00:03), girl holding paper closer to camera and smiling (00:05 - 00:10)</t>
  </si>
  <si>
    <t>Scarlett_Dec2026_ParentChildipad.mov</t>
  </si>
  <si>
    <t>https://drive.google.com/file/d/1Qrz4n97or6QU6R9Ox1grBX0pQUh7mgrS/view?usp=drivesdk</t>
  </si>
  <si>
    <t>woman and girl looking at a book (00:00 - 00:02), girl pointing at the book (00:02 - 00:05), woman picking up a tablet (00:05 - 00:07), woman showing a tablet to the girl (00:07 - 00:11)</t>
  </si>
  <si>
    <t>Scarlett_Dec2026_ParentChildsmiling.mov</t>
  </si>
  <si>
    <t>https://drive.google.com/file/d/1CQH7EqSniUtIBWzPqcWqpkL2WoBA9FDA/view?usp=drivesdk</t>
  </si>
  <si>
    <t>woman and girl making V-sign (00:00 - 00:02), woman and girl giving thumbs up (00:02 - 00:07)</t>
  </si>
  <si>
    <t>Scarlett_Dec2026_Childconfused.mov</t>
  </si>
  <si>
    <t>https://drive.google.com/file/d/1J5dHSp9TH71p4QmUK6itKNvDbQv38mUX/view?usp=drivesdk</t>
  </si>
  <si>
    <t>girl writing in book and touching hair (00:00 - 00:13), girl expressing frustration and pulling hair (00:13 - 00:15)</t>
  </si>
  <si>
    <t>Scarlett_Dec2026_Childlowscore.mov</t>
  </si>
  <si>
    <t>https://drive.google.com/file/d/1NMrm-wWDNZoqW5rEEroPlaRWHAXwQNvo/view?usp=drivesdk</t>
  </si>
  <si>
    <t>girl holds paper (00:00 - 00:15)</t>
  </si>
  <si>
    <t>Yeung3kids</t>
  </si>
  <si>
    <t>Yeung3kids_Dec2026_Childplayingtoy.mov</t>
  </si>
  <si>
    <t>https://drive.google.com/file/d/1Rh_en7rKQtbaO1cUAciySFXCt3P64VKF/view?usp=drivesdk</t>
  </si>
  <si>
    <t>boy writing on paper (00:00 - 00:03), boy putting down pen (00:03 - 00:04), boy playing with a toy (00:04 - 00:19)</t>
  </si>
  <si>
    <t>Yeung3kids_Dec2026_ChildYoutube.mov</t>
  </si>
  <si>
    <t>https://drive.google.com/file/d/1Ma5bseWZfN1BF4TLZqOGiCQ5pMeOUHDl/view?usp=drivesdk</t>
  </si>
  <si>
    <t>Boy writing on paper (00:00 - 00:04), Boy picking up tablet (00:04 - 00:07), Boy playing game on tablet (00:07 - 00:18)</t>
  </si>
  <si>
    <t>Yeung3kids_Dec2026_ParentAha.mov</t>
  </si>
  <si>
    <t>https://drive.google.com/file/d/1meOlWkNmqhugFZ-MR2F63xXN-XFCOtBd/view?usp=drivesdk</t>
  </si>
  <si>
    <t>woman turning page (00:00 - 00:01), woman looking at papers (00:01 - 00:03), woman touching chin (00:03 - 00:04), woman smiling and pointing finger up (00:04 - 00:07)</t>
  </si>
  <si>
    <t>Yeung3kids_Dec2026_Parentconfused.mov</t>
  </si>
  <si>
    <t>https://drive.google.com/file/d/1d3sfgfcVFh20PX6Hq1oA94I0egB7HCjN/view?usp=drivesdk</t>
  </si>
  <si>
    <t>woman flips papers (00:00 - 00:04), woman places paper (00:04 - 00:05), woman places paper (00:10 - 00:11), woman looks at paper (00:05 - 00:09), woman rests chin on hand (00:05 - 00:09), woman picks up paper (00:09 - 00:10), woman points at paper (00:11 - 00:15), woman taps paper (00:15 - 00:16)</t>
  </si>
  <si>
    <t>Yeung3kids_Dec2026_Childconfused.mov</t>
  </si>
  <si>
    <t>https://drive.google.com/file/d/1i4rvvTqpui2KB1XrByawGWCByaHCWUZG/view?usp=drivesdk</t>
  </si>
  <si>
    <t>boy counting on fingers (00:00 - 00:04), boy resting head on table (00:04 - 00:13)</t>
  </si>
  <si>
    <t>Yeung3kids_Dec2026_ParentChildipad.mov</t>
  </si>
  <si>
    <t>https://drive.google.com/file/d/1Gl9l7OTdxMWjQFcQg9j8T1-Hzj7faM7-/view?usp=drivesdk</t>
  </si>
  <si>
    <t>woman and boy looking at paper (00:00 - 00:06), boy putting paper aside (00:06 - 00:08), woman wagging finger at boy (00:08 - 00:12), woman showing tablet to boy (00:12 - 00:15), woman and boy giving thumbs up (00:15 - 00:18)</t>
  </si>
  <si>
    <t>Chan</t>
  </si>
  <si>
    <t>Chan_Dec2026_Parentconfused.mov</t>
  </si>
  <si>
    <t>https://drive.google.com/file/d/1kLXm8J9L3mdgLfYfyAnPpz4Wq1IrAbws/view?usp=drivesdk</t>
  </si>
  <si>
    <t>woman looking at papers (00:00 - 00:03), woman looking at papers (00:07 - 00:10), woman flipping papers (00:03 - 00:07), woman flipping papers (00:10 - 00:23)</t>
  </si>
  <si>
    <t>Yeung3kids_Dec2026_Fullvideo.mov</t>
  </si>
  <si>
    <t>https://drive.google.com/file/d/14bgSWMj5G7G8T7fdQAmlp7rtwyOp7tFG/view?usp=drivesdk</t>
  </si>
  <si>
    <t>boy, person</t>
  </si>
  <si>
    <t>boy working on math homework (00:00 - 00:01), boy using his fingers to count on the math homework (00:04 - 00:06), boy looking at his test paper with a frustrated expression (00:06 - 00:07), boy holding up his test paper with red crosses all over it (00:07 - 00:10), person pointing at the tablet screen (00:13 - 00:14), person scrolling through the tablet screen (00:16 - 00:19), boy pointing at the tablet screen (00:19 - 00:20), boy typing on the tablet screen (00:20 - 00:23), boy looking at the tablet screen and smiling (00:23 - 00:24), boy tapping on the tablet screen (00:24 - 00:25), boy tapping on the tablet screen and a red X appears (00:25 - 00:27), person pointing at the tablet screen showing a math problem solution (00:27 - 00:30), boy looking at the tablet screen intently (00:31 - 00:32), boy holding up a test paper with correct answers and smiling (00:33 - 00:37)</t>
  </si>
  <si>
    <t>Yeung3kids_Dec2026_Childcountingfinger.mov</t>
  </si>
  <si>
    <t>https://drive.google.com/file/d/1vsOifPDnHJCbPbaEQVtfutabQ0aBtIl1/view?usp=drivesdk</t>
  </si>
  <si>
    <t>boy counting on fingers (00:00 - 00:04), boy counting on fingers (00:06 - 00:13), boy rubbing his head (00:04 - 00:06), boy rubbing his head (00:13 - 00:17)</t>
  </si>
  <si>
    <t>Yeung3kids_Dec2026_Childwatchtutorial.mov</t>
  </si>
  <si>
    <t>https://drive.google.com/file/d/1764vEb9echo4_JuKBrfD9GW4R6uWux6K/view?usp=drivesdk</t>
  </si>
  <si>
    <t>boy looking at tablet (00:00 - 00:09), boy smiling and raising hand (00:09 - 00:14), boy looking down and adjusting shirt (00:14 - 00:15)</t>
  </si>
  <si>
    <t>Yeung3kids_Dec2026_ChildDC.mov</t>
  </si>
  <si>
    <t>https://drive.google.com/file/d/1FRUfh1U3useglBKlb4A9a2z28hnLsGtN/view?usp=drivesdk</t>
  </si>
  <si>
    <t>boy tapping on tablet (00:00 - 00:09), boy raising arms and smiling (00:09 - 00:11)</t>
  </si>
  <si>
    <t>Yeung3kids_Dec2026_Parentrelax.mov</t>
  </si>
  <si>
    <t>https://drive.google.com/file/d/1LMoeCQWZLntNphpszPIJE9dx2bwKlxJh/view?usp=drivesdk</t>
  </si>
  <si>
    <t>woman looking at phone and smiling (00:00 - 00:02), woman looking at phone and smiling (00:05 - 00:09), woman drinking from mug (00:02 - 00:05)</t>
  </si>
  <si>
    <t>Yeung3kids_Dec2026_ParentChildsmile.mov</t>
  </si>
  <si>
    <t>https://drive.google.com/file/d/1xYOIOvRnDzg4q2jxELExJYAWW7iC8h3Q/view?usp=drivesdk</t>
  </si>
  <si>
    <t>woman pointing at tablet (00:00 - 00:01), woman and boy holding tablet (00:01 - 00:08), woman and boy looking at camera (00:08 - 00:09), woman and boy giving thumbs up (00:09 - 00:11)</t>
  </si>
  <si>
    <t>Yeung3kids_Dec2026_Childhighscore.mov</t>
  </si>
  <si>
    <t>https://drive.google.com/file/d/1btfJ91qLI4-sTjo4P7oXgeWkTNZdFO_6/view?usp=drivesdk</t>
  </si>
  <si>
    <t>boy holding papers and smiling (00:01 - 00:09)</t>
  </si>
  <si>
    <t>Yeung3kids_Dec2026_Childlowscore.mov</t>
  </si>
  <si>
    <t>https://drive.google.com/file/d/1_xtFAK6sS7w6zB99I1YLZbUrxEsetTK0/view?usp=drivesdk</t>
  </si>
  <si>
    <t>boy looks down at paper (00:00 - 00:02), boy lifts head and paper (00:02 - 00:03), boy holds paper up and turns it (00:03 - 00:04), boy holds paper up and looks at camera (00:04 - 00:08)</t>
  </si>
  <si>
    <t>Chan_Dec2026_ChildYoutube3.mov</t>
  </si>
  <si>
    <t>https://drive.google.com/file/d/1Ne_HrqWxGq4Tyy1gs6OJiHV6V3aeS2u5/view?usp=drivesdk</t>
  </si>
  <si>
    <t>girl watching tablet (00:00 - 00:13)</t>
  </si>
  <si>
    <t>Chan_Dec2026_ChildYoutube1.mov</t>
  </si>
  <si>
    <t>https://drive.google.com/file/d/1CCEkGJF9SKtYsJ0Qn9vFrGvfNRP6IoFV/view?usp=drivesdk</t>
  </si>
  <si>
    <t>girl writing on a book (00:00 - 00:03), girl closing a book (00:03 - 00:06), girl picking up a tablet (00:06 - 00:07), girl unlocking and watching a tablet (00:07 - 00:17)</t>
  </si>
  <si>
    <t>Chan_Dec2026_ParentChildipad.mov</t>
  </si>
  <si>
    <t>https://drive.google.com/file/d/1sSqYSN7ISnHT32R8EDfGcYeKajM8NmYP/view?usp=drivesdk</t>
  </si>
  <si>
    <t>girl writing in book, woman watching (00:00 - 00:03), girl speaking, woman listening (00:03 - 00:06), woman kissing girl (00:06 - 00:07), woman showing tablet to girl (00:07 - 00:09), girl holding tablet (00:09 - 00:12)</t>
  </si>
  <si>
    <t>Chan_Dec2026_ParentChildsmiling.mov</t>
  </si>
  <si>
    <t>https://drive.google.com/file/d/1vSoz_ckb8rYaZPeGpVwhZV_46JYCD7OB/view?usp=drivesdk</t>
  </si>
  <si>
    <t>woman and girl sitting at table (00:00 - 00:02), woman talking to girl (00:00 - 00:02), woman and girl looking at tablet (00:00 - 00:02), woman and girl looking at camera (00:02 - 00:07), woman and girl smiling (00:02 - 00:07), woman and girl holding tablet (00:02 - 00:07), woman and girl giving thumbs up (00:02 - 00:07)</t>
  </si>
  <si>
    <t>Chan_Dec2026_Childlowscore.mov</t>
  </si>
  <si>
    <t>https://drive.google.com/file/d/1Fpt6rMSDhQ2GUkfmnH7yw7PAPpnjGczK/view?usp=drivesdk</t>
  </si>
  <si>
    <t>girl, none</t>
  </si>
  <si>
    <t>girl writing on paper (00:00 - 00:06), girl sighing (00:01 - 00:05), paper showing score (00:06 - 00:10)</t>
  </si>
  <si>
    <t>Chan_Dec2026_Childhighscore.mov</t>
  </si>
  <si>
    <t>https://drive.google.com/file/d/1zxCOo-fhRE9-dw86KT4sTTaErk9OjoIm/view?usp=drivesdk</t>
  </si>
  <si>
    <t>girl shouting excitedly (00:00 - 00:04), camera zooming in on girl's paper (00:04 - 00:06)</t>
  </si>
  <si>
    <t>Chan_Dec2026_ChildDC.mov</t>
  </si>
  <si>
    <t>https://drive.google.com/file/d/1kkkpWxp1tNLE8Pl6jdRgeYaPuOoKbY-S/view?usp=drivesdk</t>
  </si>
  <si>
    <t>girl touching tablet screen (00:00 - 00:06), girl turning to face camera (00:06 - 00:07), girl making a fist and smiling (00:07 - 00:09)</t>
  </si>
  <si>
    <t>Chan_Dec2026_ChildYoutube2.mov</t>
  </si>
  <si>
    <t>https://drive.google.com/file/d/1CfR1f9Bol1nTdD1hHY2mSYEhkj888Ic4/view?usp=drivesdk</t>
  </si>
  <si>
    <t>girl watching tablet (00:00 - 00:04), girl looking at tablet (00:04 - 00:12)</t>
  </si>
  <si>
    <t>Chan_Dec2026_Childwatchtutorial.mov</t>
  </si>
  <si>
    <t>https://drive.google.com/file/d/1wTnx75pSa0K6ZWUUUxp5044nbUBSTtV9/view?usp=drivesdk</t>
  </si>
  <si>
    <t>girl looking at tablet (00:00 - 00:07), girl smiling and giving thumbs-up (00:07 - 00:11)</t>
  </si>
  <si>
    <t>Chan_Dec2026_ParentAha.mov</t>
  </si>
  <si>
    <t>https://drive.google.com/file/d/19K2k9XqYdq9__AocxspvCOjR0FKWqoBW/view?usp=drivesdk</t>
  </si>
  <si>
    <t>woman reading paper (00:00 - 00:06), woman looking up (00:07), woman smiling and pointing up (00:07 - 00:09)</t>
  </si>
  <si>
    <t>Chan_Dec2026_Childcountingfinger.mov</t>
  </si>
  <si>
    <t>https://drive.google.com/file/d/1J73DgB9ORb7yt3PCKDnxnEjV_i8uf-A3/view?usp=drivesdk</t>
  </si>
  <si>
    <t>girl counting on fingers and writing in book (00:00 - 00:04), girl resting head on book (00:04 - 00:08)</t>
  </si>
  <si>
    <t>Chan_Dec2026_Childplayingtoy.mov</t>
  </si>
  <si>
    <t>https://drive.google.com/file/d/1HdxDdAvLDodZ8MfEU9bcM1qOOQouNDL1/view?usp=drivesdk</t>
  </si>
  <si>
    <t>girl playing with toys (00:00 - 00:13)</t>
  </si>
  <si>
    <t>Chan_Dec_Childconfused.mov</t>
  </si>
  <si>
    <t>https://drive.google.com/file/d/1RlnA7LoHBlSz321gOZHR0-F80zQ2N-LU/view?usp=drivesdk</t>
  </si>
  <si>
    <t>girl drawing in a book (00:00 - 00:14)</t>
  </si>
  <si>
    <t>Chan_Dec2026_Parentrelax.mov</t>
  </si>
  <si>
    <t>https://drive.google.com/file/d/1NONNONdiv3FbHbUmdKhL1hHLWkMFdiTF/view?usp=drivesdk</t>
  </si>
  <si>
    <t>woman drinking from a mug (00:00 - 00:04), woman smiling (00:04 - 00:09)</t>
  </si>
  <si>
    <t>girl points at book</t>
  </si>
  <si>
    <t>girl places card in book</t>
  </si>
  <si>
    <t>girl flips pages in book</t>
  </si>
  <si>
    <t>girl rests head on hand</t>
  </si>
  <si>
    <t>girl smiles</t>
  </si>
  <si>
    <t>girl rubs eye</t>
  </si>
  <si>
    <t>girl looking at paper</t>
  </si>
  <si>
    <t>girl smiling</t>
  </si>
  <si>
    <t>girl holding paper</t>
  </si>
  <si>
    <t>girl flipping paper</t>
  </si>
  <si>
    <t>woman pointing at girl's arm</t>
  </si>
  <si>
    <t>woman pointing at tablet</t>
  </si>
  <si>
    <t>woman giving a thumbs up</t>
  </si>
  <si>
    <t>girl clenching her fist</t>
  </si>
  <si>
    <t>child is using a tablet</t>
  </si>
  <si>
    <t>child is looking at the camera</t>
  </si>
  <si>
    <t>woman reading book</t>
  </si>
  <si>
    <t>woman flipping pages</t>
  </si>
  <si>
    <t>woman smiling and pointing</t>
  </si>
  <si>
    <t>woman and girl are looking at a book</t>
  </si>
  <si>
    <t>girl rests her head on her hand</t>
  </si>
  <si>
    <t>woman points at the book and girl looks at it</t>
  </si>
  <si>
    <t>girl points at the book</t>
  </si>
  <si>
    <t>woman points at the book while girl looks</t>
  </si>
  <si>
    <t>woman closes the book and girl leans back</t>
  </si>
  <si>
    <t>woman places and opens a tablet for girl</t>
  </si>
  <si>
    <t>woman looks at phone</t>
  </si>
  <si>
    <t>woman picks up drink</t>
  </si>
  <si>
    <t>woman sips drink</t>
  </si>
  <si>
    <t>woman smiles</t>
  </si>
  <si>
    <t>woman puts down drink</t>
  </si>
  <si>
    <t>girl resting her head on her hand</t>
  </si>
  <si>
    <t>girl talking</t>
  </si>
  <si>
    <t>girl looking down at paper</t>
  </si>
  <si>
    <t>woman and girl looking at tablet</t>
  </si>
  <si>
    <t>girl tapping on tablet</t>
  </si>
  <si>
    <t>woman and girl clapping hands</t>
  </si>
  <si>
    <t>girl looking at tablet</t>
  </si>
  <si>
    <t>girl tilting tablet</t>
  </si>
  <si>
    <t>girl touching tablet screen</t>
  </si>
  <si>
    <t>girl raising fists and smiling</t>
  </si>
  <si>
    <t>girl smiling and looking at tablet</t>
  </si>
  <si>
    <t>girl holding object</t>
  </si>
  <si>
    <t>girl looking at object</t>
  </si>
  <si>
    <t>girl holding pen and object</t>
  </si>
  <si>
    <t>girl holding pen</t>
  </si>
  <si>
    <t>girl playing with fingers</t>
  </si>
  <si>
    <t>woman looking down at papers</t>
  </si>
  <si>
    <t>woman looking down and smiling</t>
  </si>
  <si>
    <t>woman touching paper and smiling</t>
  </si>
  <si>
    <t>woman thinking</t>
  </si>
  <si>
    <t>woman getting an idea</t>
  </si>
  <si>
    <t>woman smiling and pointing finger up</t>
  </si>
  <si>
    <t>woman closing book</t>
  </si>
  <si>
    <t>woman walking away</t>
  </si>
  <si>
    <t>woman and girl posing with tablet</t>
  </si>
  <si>
    <t>girl giving thumbs up</t>
  </si>
  <si>
    <t>woman talking to girl</t>
  </si>
  <si>
    <t>woman pointing at book</t>
  </si>
  <si>
    <t>woman talking and pointing at book</t>
  </si>
  <si>
    <t>woman pointing at book and then at girl</t>
  </si>
  <si>
    <t>woman retrieving tablet</t>
  </si>
  <si>
    <t>woman showing tablet to girl</t>
  </si>
  <si>
    <t>woman pointing at tablet screen</t>
  </si>
  <si>
    <t>woman swiping on tablet screen</t>
  </si>
  <si>
    <t>girl watching tablet</t>
  </si>
  <si>
    <t>girl raising arm and smiling</t>
  </si>
  <si>
    <t>girl strokes toy bird's tail</t>
  </si>
  <si>
    <t>girl adjusts toy bird's tail</t>
  </si>
  <si>
    <t>girl playing with toy bird on book</t>
  </si>
  <si>
    <t>girl moving toy bird's tail</t>
  </si>
  <si>
    <t>girl continuing to move toy bird's tail</t>
  </si>
  <si>
    <t>girl adjusting toy bird's tail</t>
  </si>
  <si>
    <t>girl examining toy bird's tail</t>
  </si>
  <si>
    <t>girl is writing in book</t>
  </si>
  <si>
    <t>girl writing in book</t>
  </si>
  <si>
    <t>girl is looking up</t>
  </si>
  <si>
    <t>girl looking up and thinking</t>
  </si>
  <si>
    <t>girl is pondering</t>
  </si>
  <si>
    <t>girl resting head on hand and looking at book</t>
  </si>
  <si>
    <t>girl is resting head in hand</t>
  </si>
  <si>
    <t>girl tapping tablet</t>
  </si>
  <si>
    <t>girl scrolling on tablet</t>
  </si>
  <si>
    <t>girl resting chin on hand and looking at tablet</t>
  </si>
  <si>
    <t>girl pointing at tablet</t>
  </si>
  <si>
    <t>girl turning and giving thumbs up</t>
  </si>
  <si>
    <t>girl clapping hands and smiling</t>
  </si>
  <si>
    <t>girl tapping options on tablet</t>
  </si>
  <si>
    <t>girl tapping on tablet screen</t>
  </si>
  <si>
    <t>girl smiling and clapping hands</t>
  </si>
  <si>
    <t>girl holding a paper</t>
  </si>
  <si>
    <t>girl flipping pages</t>
  </si>
  <si>
    <t>girl showing the paper</t>
  </si>
  <si>
    <t>girl holding up the paper</t>
  </si>
  <si>
    <t>girl pointing at paper with finger</t>
  </si>
  <si>
    <t>girl folding paper</t>
  </si>
  <si>
    <t>girl unfolding paper</t>
  </si>
  <si>
    <t>girl showing paper</t>
  </si>
  <si>
    <t>girl holds paper, girl smiles</t>
  </si>
  <si>
    <t>girl holds paper, girl smiles, girl points at paper</t>
  </si>
  <si>
    <t>girl showing paper and pointing</t>
  </si>
  <si>
    <t>girl holds paper, girl smiles, girl points at paper, girl gives thumbs up</t>
  </si>
  <si>
    <t>girl giving thumbs up and smiling</t>
  </si>
  <si>
    <t>boy sitting at desk</t>
  </si>
  <si>
    <t>boy holds up paper</t>
  </si>
  <si>
    <t>boy holds paper up</t>
  </si>
  <si>
    <t>boy sitting at desk and holding head</t>
  </si>
  <si>
    <t>boy holding up paper</t>
  </si>
  <si>
    <t>boy holding paper up close</t>
  </si>
  <si>
    <t>boy holding paper up and smiling</t>
  </si>
  <si>
    <t>boy holding papers</t>
  </si>
  <si>
    <t>boy waving papers</t>
  </si>
  <si>
    <t>boy moving papers and smiling</t>
  </si>
  <si>
    <t>boy holding papers and smiling</t>
  </si>
  <si>
    <t>boy playing with toys</t>
  </si>
  <si>
    <t>boy writing on paper</t>
  </si>
  <si>
    <t>boy balancing figures on a pen</t>
  </si>
  <si>
    <t>adult pointing at paper with a pen</t>
  </si>
  <si>
    <t>boy writing in book</t>
  </si>
  <si>
    <t>boy looking down at book</t>
  </si>
  <si>
    <t>boy scratching head</t>
  </si>
  <si>
    <t>boy looking up and smiling</t>
  </si>
  <si>
    <t>boy looking up and leaning back</t>
  </si>
  <si>
    <t>boy smiling</t>
  </si>
  <si>
    <t>boy looking down and writing</t>
  </si>
  <si>
    <t>woman looking at phone</t>
  </si>
  <si>
    <t>woman laughing</t>
  </si>
  <si>
    <t>woman tapping phone screen</t>
  </si>
  <si>
    <t>woman lying on bed</t>
  </si>
  <si>
    <t>woman wearing a face mask</t>
  </si>
  <si>
    <t>woman wearing glasses</t>
  </si>
  <si>
    <t>woman holding a phone</t>
  </si>
  <si>
    <t>woman tapping on phone</t>
  </si>
  <si>
    <t>woman smiling</t>
  </si>
  <si>
    <t>woman talking</t>
  </si>
  <si>
    <t>woman pointing at book; boy looking at book</t>
  </si>
  <si>
    <t>woman touching boy's head; boy smiling</t>
  </si>
  <si>
    <t>woman adjusting her hair; boy writing</t>
  </si>
  <si>
    <t>woman laughing; boy writing</t>
  </si>
  <si>
    <t>woman holding tablet; boy writing</t>
  </si>
  <si>
    <t>woman showing tablet to boy; woman and boy looking at tablet; woman and boy laughing</t>
  </si>
  <si>
    <t>woman and boy laughing; woman and boy holding tablet</t>
  </si>
  <si>
    <t>woman points at book, boy writes</t>
  </si>
  <si>
    <t>woman touches boy's head, boy looks at her</t>
  </si>
  <si>
    <t>woman fixes her hair</t>
  </si>
  <si>
    <t>woman looks at boy, boy writes in book</t>
  </si>
  <si>
    <t>woman smiles and gestures with hand</t>
  </si>
  <si>
    <t>woman laughs</t>
  </si>
  <si>
    <t>woman holds tablet and looks at boy, boy writes</t>
  </si>
  <si>
    <t>woman shows tablet to boy, both look at tablet</t>
  </si>
  <si>
    <t>woman and boy hug and smile at tablet</t>
  </si>
  <si>
    <t>woman and boy smiling</t>
  </si>
  <si>
    <t>woman and boy looking at tablet</t>
  </si>
  <si>
    <t>woman and boy smiling at camera</t>
  </si>
  <si>
    <t>woman holding tablet and smiling, boy smiling and making peace sign</t>
  </si>
  <si>
    <t>woman making kissing face, boy smiling and making peace sign</t>
  </si>
  <si>
    <t>woman holding and reading a book</t>
  </si>
  <si>
    <t>woman reading a book</t>
  </si>
  <si>
    <t>woman pointing finger</t>
  </si>
  <si>
    <t>woman is looking at book</t>
  </si>
  <si>
    <t>woman is touching her head and looking at book</t>
  </si>
  <si>
    <t>woman is touching her chin and looking at book</t>
  </si>
  <si>
    <t>woman is pointing finger up and looking at book</t>
  </si>
  <si>
    <t>woman is smiling and looking at book</t>
  </si>
  <si>
    <t>boy tapping tablet</t>
  </si>
  <si>
    <t>boy scrolling on tablet</t>
  </si>
  <si>
    <t>boy looking at tablet</t>
  </si>
  <si>
    <t>boy's hand is scrolling on a tablet</t>
  </si>
  <si>
    <t>boy is looking at a tablet</t>
  </si>
  <si>
    <t>boy is tapping on a tablet</t>
  </si>
  <si>
    <t>boy is watching a tablet</t>
  </si>
  <si>
    <t>boy's hand is tapping on a tablet</t>
  </si>
  <si>
    <t>boy is looking at a tablet and smiling</t>
  </si>
  <si>
    <t>boy is looking at tablet</t>
  </si>
  <si>
    <t>boy is tapping tablet</t>
  </si>
  <si>
    <t>boy is high-fiving someone off-screen</t>
  </si>
  <si>
    <t>boy raising hand</t>
  </si>
  <si>
    <t>boy touching tablet screen</t>
  </si>
  <si>
    <t>boy high-fiving hand</t>
  </si>
  <si>
    <t>woman looking at book</t>
  </si>
  <si>
    <t>woman looking up</t>
  </si>
  <si>
    <t>woman raising finger</t>
  </si>
  <si>
    <t>woman looking up from book</t>
  </si>
  <si>
    <t>girl looking at computer</t>
  </si>
  <si>
    <t>girl resting head on hand</t>
  </si>
  <si>
    <t>girl giving thumbs-up</t>
  </si>
  <si>
    <t>girl using computer</t>
  </si>
  <si>
    <t>girl using mouse</t>
  </si>
  <si>
    <t>girl cheering</t>
  </si>
  <si>
    <t>girl looking at screen</t>
  </si>
  <si>
    <t>girl's hands clasped</t>
  </si>
  <si>
    <t>girl tapping ruler on table</t>
  </si>
  <si>
    <t>girl typing on keyboard</t>
  </si>
  <si>
    <t>girl watching computer screen</t>
  </si>
  <si>
    <t>girl raising arms</t>
  </si>
  <si>
    <t>girl writing on paper with pencil</t>
  </si>
  <si>
    <t>girl rubbing her face</t>
  </si>
  <si>
    <t>girl covering her face with hands</t>
  </si>
  <si>
    <t>girl looking up and crossing arms</t>
  </si>
  <si>
    <t>girl looking away with sad expression</t>
  </si>
  <si>
    <t>girl looking around with pencil in hand</t>
  </si>
  <si>
    <t>girl fiddling with mechanical pencil</t>
  </si>
  <si>
    <t>girl dropping pencil and reaching</t>
  </si>
  <si>
    <t>girl hitting ruler on paper and table</t>
  </si>
  <si>
    <t>girl hitting ruler on table</t>
  </si>
  <si>
    <t>girl looking at and placing ruler on paper</t>
  </si>
  <si>
    <t>girl sitting and looking down</t>
  </si>
  <si>
    <t>girl's hand holding pen and pointing at paper</t>
  </si>
  <si>
    <t>girl's hand pointing at paper</t>
  </si>
  <si>
    <t>girl's hand holding pen</t>
  </si>
  <si>
    <t>girl writing on paper</t>
  </si>
  <si>
    <t>girl putting down pencil</t>
  </si>
  <si>
    <t>girl covering eyes with hands</t>
  </si>
  <si>
    <t>girl looking up</t>
  </si>
  <si>
    <t>girl looking around</t>
  </si>
  <si>
    <t>girl's hand holds paper</t>
  </si>
  <si>
    <t>girl jumps into frame</t>
  </si>
  <si>
    <t>girl smiles and jumps</t>
  </si>
  <si>
    <t>girl smiles and sticks out tongue</t>
  </si>
  <si>
    <t>girl's hand adjusts paper</t>
  </si>
  <si>
    <t>girl sitting</t>
  </si>
  <si>
    <t>girl pointing at paper</t>
  </si>
  <si>
    <t>boy looking at laptop</t>
  </si>
  <si>
    <t>boy smiling and laughing</t>
  </si>
  <si>
    <t>boy raising hands</t>
  </si>
  <si>
    <t>boy posing</t>
  </si>
  <si>
    <t>girl smiling and swaying</t>
  </si>
  <si>
    <t>girl jumping and smiling</t>
  </si>
  <si>
    <t>girl holding paper and licking lips</t>
  </si>
  <si>
    <t>girl holding and pointing at paper</t>
  </si>
  <si>
    <t>laptop displaying a math problem</t>
  </si>
  <si>
    <t>boy watching laptop</t>
  </si>
  <si>
    <t>boy smiling and giving a thumbs up</t>
  </si>
  <si>
    <t>boy using laptop</t>
  </si>
  <si>
    <t>boy raising arms</t>
  </si>
  <si>
    <t>child reaches for paper</t>
  </si>
  <si>
    <t>child rests head on table</t>
  </si>
  <si>
    <t>child holds paper in front of face</t>
  </si>
  <si>
    <t>boy sitting with back to camera</t>
  </si>
  <si>
    <t>boy turning to camera</t>
  </si>
  <si>
    <t>boy giving thumbs up</t>
  </si>
  <si>
    <t>boy holding a red pencil</t>
  </si>
  <si>
    <t>boy dropping the red pencil</t>
  </si>
  <si>
    <t>boy resting his head on his hand</t>
  </si>
  <si>
    <t>boy looking and pouting</t>
  </si>
  <si>
    <t>hand touches a document</t>
  </si>
  <si>
    <t>boy leans on a table</t>
  </si>
  <si>
    <t>boy is lying face down on a document</t>
  </si>
  <si>
    <t>boy holds a document in front of his face</t>
  </si>
  <si>
    <t>woman touching her chin</t>
  </si>
  <si>
    <t>woman gesturing with her hand</t>
  </si>
  <si>
    <t>woman shaking her head</t>
  </si>
  <si>
    <t>woman pointing finger up and smiling</t>
  </si>
  <si>
    <t>boy resting chin on hand</t>
  </si>
  <si>
    <t>boy putting down pencil</t>
  </si>
  <si>
    <t>boy looking at camera</t>
  </si>
  <si>
    <t>boy making a funny face</t>
  </si>
  <si>
    <t>woman looking confused</t>
  </si>
  <si>
    <t>woman raising hands in exasperation</t>
  </si>
  <si>
    <t>woman pointing and smiling</t>
  </si>
  <si>
    <t>boy holding paper and smiling</t>
  </si>
  <si>
    <t>boy opening mouth and holding paper</t>
  </si>
  <si>
    <t>boy holding paper</t>
  </si>
  <si>
    <t>boy playing with pen</t>
  </si>
  <si>
    <t>boy typing on tablet</t>
  </si>
  <si>
    <t>boy clapping hands</t>
  </si>
  <si>
    <t>boy and woman interacting with hands</t>
  </si>
  <si>
    <t>woman flipping pages of book</t>
  </si>
  <si>
    <t>woman holding tablet and smiling</t>
  </si>
  <si>
    <t>boy playing on tablet</t>
  </si>
  <si>
    <t>boy looking at tablet and smiling</t>
  </si>
  <si>
    <t>woman drinking from can</t>
  </si>
  <si>
    <t>woman and boy looking at paper</t>
  </si>
  <si>
    <t>boy closing tablet and woman smiling</t>
  </si>
  <si>
    <t>woman and boy holding tablet and smiling</t>
  </si>
  <si>
    <t>woman kissing boy's cheek while holding tablet</t>
  </si>
  <si>
    <t>woman hugging boy while holding tablet</t>
  </si>
  <si>
    <t>boy looking at paper</t>
  </si>
  <si>
    <t>boy spinning pencil</t>
  </si>
  <si>
    <t>woman and boy looking at book</t>
  </si>
  <si>
    <t>boy plays with pencil</t>
  </si>
  <si>
    <t>boy points at book with pencil</t>
  </si>
  <si>
    <t>child's hand touching tablet screen</t>
  </si>
  <si>
    <t>child's hand typing on tablet keyboard</t>
  </si>
  <si>
    <t>child's hand tapping tablet screen</t>
  </si>
  <si>
    <t>child clapping hands and smiling</t>
  </si>
  <si>
    <t>Boy spinning pencil</t>
  </si>
  <si>
    <t>Boy tapping pencil on book</t>
  </si>
  <si>
    <t>Boy pointing at book</t>
  </si>
  <si>
    <t>Boy placing pencil on book</t>
  </si>
  <si>
    <t>woman touching boy's hand</t>
  </si>
  <si>
    <t>boy rubbing his fingers</t>
  </si>
  <si>
    <t>woman touching boy's fingers</t>
  </si>
  <si>
    <t>child is touching tablet screen</t>
  </si>
  <si>
    <t>child is typing on tablet</t>
  </si>
  <si>
    <t>child is tapping tablet and clapping hands</t>
  </si>
  <si>
    <t>boy is smiling and clapping hands</t>
  </si>
  <si>
    <t>woman holding and looking at book</t>
  </si>
  <si>
    <t>woman turning book page</t>
  </si>
  <si>
    <t>boy moving hand near face</t>
  </si>
  <si>
    <t>woman holds tablet and smiles at camera</t>
  </si>
  <si>
    <t>boy touching fingers</t>
  </si>
  <si>
    <t>woman observing boy and smiling</t>
  </si>
  <si>
    <t>boy holding tablet</t>
  </si>
  <si>
    <t>woman holding book</t>
  </si>
  <si>
    <t>woman drinking from a can</t>
  </si>
  <si>
    <t>woman examining book pages</t>
  </si>
  <si>
    <t>woman sitting</t>
  </si>
  <si>
    <t>woman holding tablet</t>
  </si>
  <si>
    <t>boy pointing at book</t>
  </si>
  <si>
    <t>A child holding a tablet, a child looking at a tablet</t>
  </si>
  <si>
    <t>A child smiling, a child looking forward</t>
  </si>
  <si>
    <t>woman sitting and drinking from a can</t>
  </si>
  <si>
    <t>woman and boy look at the book</t>
  </si>
  <si>
    <t>boy points at the tablet</t>
  </si>
  <si>
    <t>boy smiles</t>
  </si>
  <si>
    <t>boy covers the tablet</t>
  </si>
  <si>
    <t>boy uncovers the tablet</t>
  </si>
  <si>
    <t>woman and boy look at the tablet</t>
  </si>
  <si>
    <t>boy touches the tablet</t>
  </si>
  <si>
    <t>boy waves his hand</t>
  </si>
  <si>
    <t>boy turning pages of book</t>
  </si>
  <si>
    <t>woman looking at boy</t>
  </si>
  <si>
    <t>woman kissing boy</t>
  </si>
  <si>
    <t>woman embracing boy</t>
  </si>
  <si>
    <t>woman and boy looking at workbook</t>
  </si>
  <si>
    <t>woman holding tablet and boy pointing at it</t>
  </si>
  <si>
    <t>woman smiling and boy pointing at tablet</t>
  </si>
  <si>
    <t>boy closing tablet</t>
  </si>
  <si>
    <t>boy putting tablet down</t>
  </si>
  <si>
    <t>boy waving hand</t>
  </si>
  <si>
    <t>girl holding and shaking paper</t>
  </si>
  <si>
    <t>girl holding paper and giving thumbs-up</t>
  </si>
  <si>
    <t>girl pointing at paper and smiling</t>
  </si>
  <si>
    <t>girl pointing at paper and looking at camera</t>
  </si>
  <si>
    <t>girl pointing at paper and giving thumbs-up</t>
  </si>
  <si>
    <t>girl holding paper up to camera</t>
  </si>
  <si>
    <t>girl reading paper</t>
  </si>
  <si>
    <t>girl showing paper and pointing at it</t>
  </si>
  <si>
    <t>boy holding tablet and talking; woman smiling</t>
  </si>
  <si>
    <t>boy holding tablet and smiling; woman smiling</t>
  </si>
  <si>
    <t>woman kissing boy; boy smiling and holding tablet</t>
  </si>
  <si>
    <t>woman smiling; boy smiling and holding tablet</t>
  </si>
  <si>
    <t>girl showing paper to camera</t>
  </si>
  <si>
    <t>girl typing on tablet</t>
  </si>
  <si>
    <t>girl making fist gesture</t>
  </si>
  <si>
    <t>girl clapping hands</t>
  </si>
  <si>
    <t>girl writing in a book</t>
  </si>
  <si>
    <t>girl thinking and looking around</t>
  </si>
  <si>
    <t>girl holding her head and looking at the book</t>
  </si>
  <si>
    <t>girl selecting an activity on tablet</t>
  </si>
  <si>
    <t>girl connects colorful paper shapes</t>
  </si>
  <si>
    <t>girl typing on tablet keyboard</t>
  </si>
  <si>
    <t>girl attaches colorful paper shapes</t>
  </si>
  <si>
    <t>girl raising her fist in excitement</t>
  </si>
  <si>
    <t>girl adds colorful paper shapes</t>
  </si>
  <si>
    <t>girl clapping her hands</t>
  </si>
  <si>
    <t>girl arranges colorful paper shapes</t>
  </si>
  <si>
    <t>girl resting hand on head</t>
  </si>
  <si>
    <t>girl is connecting a blue piece to an orange piece</t>
  </si>
  <si>
    <t>girl is connecting a yellow piece to the structure</t>
  </si>
  <si>
    <t>girl is connecting another yellow piece to the structure</t>
  </si>
  <si>
    <t>girl is connecting a pink piece to the structure</t>
  </si>
  <si>
    <t>girl is adjusting the assembled colorful pieces</t>
  </si>
  <si>
    <t>Hand navigating on tablet</t>
  </si>
  <si>
    <t>Hand tapping on tablet to open video</t>
  </si>
  <si>
    <t>Hand tapping on tablet</t>
  </si>
  <si>
    <t>Girl watching tablet</t>
  </si>
  <si>
    <t>Girl interacting with tablet and watching video</t>
  </si>
  <si>
    <t>Girl interacting with tablet</t>
  </si>
  <si>
    <t>Girl watching tablet and interacting with the screen</t>
  </si>
  <si>
    <t>Girl looking at tablet</t>
  </si>
  <si>
    <t>Girl pointing at camera</t>
  </si>
  <si>
    <t>Girl giving thumbs up</t>
  </si>
  <si>
    <t>Girl pointing at tablet and looking at camera</t>
  </si>
  <si>
    <t>girl writing, woman talking and pointing at book</t>
  </si>
  <si>
    <t>girl looking at woman, woman talking and pointing at book</t>
  </si>
  <si>
    <t>girl looking at woman, woman talking and gesturing</t>
  </si>
  <si>
    <t>girl writing, woman talking</t>
  </si>
  <si>
    <t>girl looking at woman, woman talking</t>
  </si>
  <si>
    <t>woman reaching for something</t>
  </si>
  <si>
    <t>woman showing tablet and talking</t>
  </si>
  <si>
    <t>woman smiling and pointing at tablet</t>
  </si>
  <si>
    <t>woman pointing at tablet and talking</t>
  </si>
  <si>
    <t>woman opens a book</t>
  </si>
  <si>
    <t>woman flips through a book</t>
  </si>
  <si>
    <t>woman points at a book</t>
  </si>
  <si>
    <t>woman puts down a book</t>
  </si>
  <si>
    <t>woman picks up a book</t>
  </si>
  <si>
    <t>woman reads a book</t>
  </si>
  <si>
    <t>woman rests her chin on her hand</t>
  </si>
  <si>
    <t>woman touches her forehead</t>
  </si>
  <si>
    <t>woman touches her chin and looks up</t>
  </si>
  <si>
    <t>woman snaps her fingers</t>
  </si>
  <si>
    <t>woman smiles and gestures</t>
  </si>
  <si>
    <t>woman closes a book</t>
  </si>
  <si>
    <t>woman and girl smiling at camera, woman holding tablet, girl touching tablet with stylus</t>
  </si>
  <si>
    <t>woman and girl looking at each other, woman holding tablet, girl touching tablet with stylus</t>
  </si>
  <si>
    <t>woman smiling, woman looking at phone, woman pointing at phone, woman speaking</t>
  </si>
  <si>
    <t>woman looking at phone, woman pointing at phone, woman speaking</t>
  </si>
  <si>
    <t>girl holds papers</t>
  </si>
  <si>
    <t>girl appears from behind tablet and holds papers</t>
  </si>
  <si>
    <t>girl holds papers and looks at camera</t>
  </si>
  <si>
    <t>girl raises papers, smiles, and raises fist</t>
  </si>
  <si>
    <t>girl smiles and moves papers</t>
  </si>
  <si>
    <t>girl holds papers and smiles at camera</t>
  </si>
  <si>
    <t>girl looking at papers</t>
  </si>
  <si>
    <t>girl frowning while holding papers</t>
  </si>
  <si>
    <t>girl shaking papers</t>
  </si>
  <si>
    <t>girl closing a book</t>
  </si>
  <si>
    <t>girl opening a book</t>
  </si>
  <si>
    <t>girl rubbing her head</t>
  </si>
  <si>
    <t>woman flips pages of a book</t>
  </si>
  <si>
    <t>woman thinks while holding a book</t>
  </si>
  <si>
    <t>woman wearing face mask</t>
  </si>
  <si>
    <t>woman holding phone</t>
  </si>
  <si>
    <t>woman pointing at paper, girl touching her hair</t>
  </si>
  <si>
    <t>woman looking at girl, girl touching her hair</t>
  </si>
  <si>
    <t>woman pointing finger up, girl touching her hair</t>
  </si>
  <si>
    <t>woman smiling and holding tablet, girl touching her hair</t>
  </si>
  <si>
    <t>woman holding tablet and pointing at paper, girl leaning on woman</t>
  </si>
  <si>
    <t>woman holding tablet, girl leaning on woman and smiling</t>
  </si>
  <si>
    <t>text CapCut appearing on screen</t>
  </si>
  <si>
    <t>girl covers her eyes</t>
  </si>
  <si>
    <t>woman holds a tablet and smiles</t>
  </si>
  <si>
    <t>girl puts her hands on her head</t>
  </si>
  <si>
    <t>girl raises her arms</t>
  </si>
  <si>
    <t>girl clenches her hands near her face and smiles</t>
  </si>
  <si>
    <t>woman holds a tablet, smiles, and gives a thumbs up</t>
  </si>
  <si>
    <t>girl waves her hand and smiles</t>
  </si>
  <si>
    <t>girl points at the camera and smiles</t>
  </si>
  <si>
    <t>girl raises her arms and smiles</t>
  </si>
  <si>
    <t>girl lowers her arms</t>
  </si>
  <si>
    <t>girl playing with a toy</t>
  </si>
  <si>
    <t>girl making a happy gesture</t>
  </si>
  <si>
    <t>girl raising hands in celebration</t>
  </si>
  <si>
    <t>A hand touches tablet</t>
  </si>
  <si>
    <t>A hand taps button on tablet</t>
  </si>
  <si>
    <t>A hand taps watch button on tablet</t>
  </si>
  <si>
    <t>A girl holds tablet</t>
  </si>
  <si>
    <t>A girl watches tablet and smiles</t>
  </si>
  <si>
    <t>girl drawing on tablet</t>
  </si>
  <si>
    <t>girl smiling at camera</t>
  </si>
  <si>
    <t>woman and girl writing</t>
  </si>
  <si>
    <t>woman and girl looking at paper</t>
  </si>
  <si>
    <t>woman and girl smiling and holding tablet</t>
  </si>
  <si>
    <t>girl sitting and looking at paper</t>
  </si>
  <si>
    <t>girl opening mouth and laughing</t>
  </si>
  <si>
    <t>girl laughing and holding papers</t>
  </si>
  <si>
    <t>girl laughing and pointing at paper</t>
  </si>
  <si>
    <t>girl smiling and holding papers</t>
  </si>
  <si>
    <t>woman holds phone and tilts head</t>
  </si>
  <si>
    <t>woman looks at phone and smiles</t>
  </si>
  <si>
    <t>woman holds phone and touches chin</t>
  </si>
  <si>
    <t>woman looks at phone, gestures, and smiles at camera</t>
  </si>
  <si>
    <t>woman turning pages and looking down</t>
  </si>
  <si>
    <t>woman rapidly flipping through pages</t>
  </si>
  <si>
    <t>woman turning pages</t>
  </si>
  <si>
    <t>woman looking at camera</t>
  </si>
  <si>
    <t>woman smiling and pointing upwards</t>
  </si>
  <si>
    <t>woman smiling; girl looking at camera</t>
  </si>
  <si>
    <t>woman holding tablet; girl looking at tablet</t>
  </si>
  <si>
    <t>woman smiling; girl making peace sign</t>
  </si>
  <si>
    <t>woman and girl looking down</t>
  </si>
  <si>
    <t>girl sharpening pencil</t>
  </si>
  <si>
    <t>girl laughing and sharpening pencil</t>
  </si>
  <si>
    <t>girl smiling and sharpening pencil</t>
  </si>
  <si>
    <t>girl writing on a blue table</t>
  </si>
  <si>
    <t>girl writing on her book with a black pen</t>
  </si>
  <si>
    <t>girl writing on the book and looking around</t>
  </si>
  <si>
    <t>girl writing on the book and looking to her left</t>
  </si>
  <si>
    <t>girl writing in her book and then looking up and smiling</t>
  </si>
  <si>
    <t>girl writing in her book and then resting her chin on her hand</t>
  </si>
  <si>
    <t>girl smiling and holding a book</t>
  </si>
  <si>
    <t>girl looking down and flipping pages of a book</t>
  </si>
  <si>
    <t>girl flipping pages of a book</t>
  </si>
  <si>
    <t>girl smiling and flipping pages of a book</t>
  </si>
  <si>
    <t>girl looking at a book and smiling</t>
  </si>
  <si>
    <t>girl prepares to start</t>
  </si>
  <si>
    <t>girl looks at papers</t>
  </si>
  <si>
    <t>girl holding and looking at paper</t>
  </si>
  <si>
    <t>girl writing</t>
  </si>
  <si>
    <t>girl thinking</t>
  </si>
  <si>
    <t>girl putting hand to mouth</t>
  </si>
  <si>
    <t>girl covering her face</t>
  </si>
  <si>
    <t>girl assembling stacking toys</t>
  </si>
  <si>
    <t>girl interacting with tablet</t>
  </si>
  <si>
    <t>girl looking at camera and smiling and raising fist</t>
  </si>
  <si>
    <t>woman tapping book</t>
  </si>
  <si>
    <t>woman opening book</t>
  </si>
  <si>
    <t>woman closing one book and opening another</t>
  </si>
  <si>
    <t>woman looking at book with chin resting on hand</t>
  </si>
  <si>
    <t>woman looking at book with hand on head</t>
  </si>
  <si>
    <t>woman lifting head and looking away</t>
  </si>
  <si>
    <t>woman resting chin on hand and looking up</t>
  </si>
  <si>
    <t>woman raising index finger and smiling</t>
  </si>
  <si>
    <t>woman tapping book and raising index finger</t>
  </si>
  <si>
    <t>woman drinking from a glass</t>
  </si>
  <si>
    <t>woman opening a container</t>
  </si>
  <si>
    <t>woman taking out a cookie</t>
  </si>
  <si>
    <t>woman eating a cookie</t>
  </si>
  <si>
    <t>girl looking at woman</t>
  </si>
  <si>
    <t>woman smiling at girl</t>
  </si>
  <si>
    <t>person's hand interacting with tablet</t>
  </si>
  <si>
    <t>person's hand scrolling on tablet</t>
  </si>
  <si>
    <t>person's hand tapping on tablet</t>
  </si>
  <si>
    <t>person's hand tapping 'Watch' button on tablet</t>
  </si>
  <si>
    <t>person's hand resting on table while video plays</t>
  </si>
  <si>
    <t>girl pointing at tablet screen</t>
  </si>
  <si>
    <t>girl tapping 'Go' button on tablet</t>
  </si>
  <si>
    <t>girl tapping an item on a list on tablet</t>
  </si>
  <si>
    <t>girl tapping on tablet screen, a question appears</t>
  </si>
  <si>
    <t>girl tapping an answer option on tablet</t>
  </si>
  <si>
    <t>girl tapping 'Submit' button on tablet</t>
  </si>
  <si>
    <t>girl looking at tablet showing 'THAT'S RIGHT'</t>
  </si>
  <si>
    <t>girl turning to camera and giving thumbs up</t>
  </si>
  <si>
    <t>girl smiling and giving thumbs up to camera</t>
  </si>
  <si>
    <t>girl resting head on hand; woman looking at book</t>
  </si>
  <si>
    <t>woman turning book pages; girl looking at book</t>
  </si>
  <si>
    <t>girl writing in book; woman looking at book</t>
  </si>
  <si>
    <t>woman speaking to girl; girl looking at woman</t>
  </si>
  <si>
    <t>woman and girl looking at each other</t>
  </si>
  <si>
    <t>woman gesturing with hand; woman putting finger to lips</t>
  </si>
  <si>
    <t>woman putting finger to lips; woman gesturing to side</t>
  </si>
  <si>
    <t>woman reaching for tablet off-screen</t>
  </si>
  <si>
    <t>woman showing tablet to girl; woman smiling</t>
  </si>
  <si>
    <t>woman pointing at tablet; woman smiling; girl looking at tablet; girl smiling; girl reaching for tablet</t>
  </si>
  <si>
    <t>woman pointing at tablet; woman smiling; girl pointing at tablet; girl smiling</t>
  </si>
  <si>
    <t>girl holds papers, girl smiles</t>
  </si>
  <si>
    <t>girl raises papers to camera</t>
  </si>
  <si>
    <t>girl lowers papers, girl smiles at camera</t>
  </si>
  <si>
    <t>girl holding papers</t>
  </si>
  <si>
    <t>girl resting chin on hand</t>
  </si>
  <si>
    <t>girl touching head</t>
  </si>
  <si>
    <t>girl holding hand on head</t>
  </si>
  <si>
    <t>girl leaning head on hand</t>
  </si>
  <si>
    <t>girl leaning on hand</t>
  </si>
  <si>
    <t>girl looking to left</t>
  </si>
  <si>
    <t>girl reaching for toy</t>
  </si>
  <si>
    <t>girl playing with toy</t>
  </si>
  <si>
    <t>woman sitting on sofa</t>
  </si>
  <si>
    <t>woman holding glass</t>
  </si>
  <si>
    <t>woman drinking from glass</t>
  </si>
  <si>
    <t>woman showing tablet</t>
  </si>
  <si>
    <t>woman pointing at tablet, girl looking at tablet</t>
  </si>
  <si>
    <t>woman and girl sitting at desk</t>
  </si>
  <si>
    <t>woman and girl turning to camera</t>
  </si>
  <si>
    <t>girl making hand gesture and smiling</t>
  </si>
  <si>
    <t>woman gesturing at tablet</t>
  </si>
  <si>
    <t>woman adjusting glasses</t>
  </si>
  <si>
    <t>woman gesturing at tablet and smiling</t>
  </si>
  <si>
    <t>girl sitting at desk</t>
  </si>
  <si>
    <t>girl turning towards camera</t>
  </si>
  <si>
    <t>girl holding tablet and smiling</t>
  </si>
  <si>
    <t>girl holding tablet towards camera</t>
  </si>
  <si>
    <t>woman is reading a book</t>
  </si>
  <si>
    <t>woman is looking at a book and touching her forehead</t>
  </si>
  <si>
    <t>woman is reading a book and pointing</t>
  </si>
  <si>
    <t>woman is pointing up and smiling</t>
  </si>
  <si>
    <t>Tablet displays game interface</t>
  </si>
  <si>
    <t>Tablet displays loading screen</t>
  </si>
  <si>
    <t>Girl touches tablet screen</t>
  </si>
  <si>
    <t>Girl raises arms</t>
  </si>
  <si>
    <t>Girl reacts excitedly</t>
  </si>
  <si>
    <t>Girl plugs cable into tablet</t>
  </si>
  <si>
    <t>Girl looks at tablet</t>
  </si>
  <si>
    <t>woman makes peace sign</t>
  </si>
  <si>
    <t>woman gives thumbs up</t>
  </si>
  <si>
    <t>boy looking at book and raising finger</t>
  </si>
  <si>
    <t>boy putting hand on forehead</t>
  </si>
  <si>
    <t>boy raising arm and smiling</t>
  </si>
  <si>
    <t>boy typing on laptop</t>
  </si>
  <si>
    <t>boy watching laptop screen</t>
  </si>
  <si>
    <t>boy celebrating</t>
  </si>
  <si>
    <t>boy looking at laptop with hands clasped</t>
  </si>
  <si>
    <t>boy raising his right arm</t>
  </si>
  <si>
    <t>woman looking right</t>
  </si>
  <si>
    <t>woman pointing up and smiling at camera</t>
  </si>
  <si>
    <t>woman looking at book and turning page</t>
  </si>
  <si>
    <t>woman closing book and looking at camera</t>
  </si>
  <si>
    <t>woman talks to boy</t>
  </si>
  <si>
    <t>boy looks at woman</t>
  </si>
  <si>
    <t>boy writes in book</t>
  </si>
  <si>
    <t>woman looks up</t>
  </si>
  <si>
    <t>woman and boy looking at laptop</t>
  </si>
  <si>
    <t>woman talking to boy</t>
  </si>
  <si>
    <t>boy looking at woman</t>
  </si>
  <si>
    <t>boy flexing his arms</t>
  </si>
  <si>
    <t>boy talking to woman</t>
  </si>
  <si>
    <t>woman smiling at boy</t>
  </si>
  <si>
    <t>boy writing on book</t>
  </si>
  <si>
    <t>woman watching boy</t>
  </si>
  <si>
    <t>woman covering book with tablet</t>
  </si>
  <si>
    <t>woman removing a book</t>
  </si>
  <si>
    <t>woman placing a laptop on table</t>
  </si>
  <si>
    <t>woman and boy looking at camera</t>
  </si>
  <si>
    <t>woman holding laptop</t>
  </si>
  <si>
    <t>boy touching laptop</t>
  </si>
  <si>
    <t>woman picking up mug</t>
  </si>
  <si>
    <t>woman drinking from mug</t>
  </si>
  <si>
    <t>woman lowering mug</t>
  </si>
  <si>
    <t>girl doing homework</t>
  </si>
  <si>
    <t>girl pointing at laptop screen</t>
  </si>
  <si>
    <t>girl looking at laptop screen</t>
  </si>
  <si>
    <t>girl looking at laptop</t>
  </si>
  <si>
    <t>girl turning head and smiling</t>
  </si>
  <si>
    <t>girl smiling and raising hand to face</t>
  </si>
  <si>
    <t>woman looking up and thinking</t>
  </si>
  <si>
    <t>woman looking around and thinking</t>
  </si>
  <si>
    <t>woman touching her chin and thinking</t>
  </si>
  <si>
    <t>woman smiling with a bright idea</t>
  </si>
  <si>
    <t>woman looking forward</t>
  </si>
  <si>
    <t>woman sighing</t>
  </si>
  <si>
    <t>girl points at book, woman smiles at girl</t>
  </si>
  <si>
    <t>girl looks at woman, woman looks at girl</t>
  </si>
  <si>
    <t>woman touches face, girl looks at book</t>
  </si>
  <si>
    <t>woman looks at book, girl looks at woman</t>
  </si>
  <si>
    <t>woman and girl looking at laptop</t>
  </si>
  <si>
    <t>girl touching laptop keyboard</t>
  </si>
  <si>
    <t>woman exclaiming</t>
  </si>
  <si>
    <t>woman and girl smiling</t>
  </si>
  <si>
    <t>woman asking question</t>
  </si>
  <si>
    <t>girl answering question</t>
  </si>
  <si>
    <t>woman clapping hands</t>
  </si>
  <si>
    <t>woman making a peace sign, woman and girl smiling</t>
  </si>
  <si>
    <t>woman giving thumbs up, woman and girl smiling</t>
  </si>
  <si>
    <t>woman opening laptop</t>
  </si>
  <si>
    <t>woman holding mug</t>
  </si>
  <si>
    <t>woman shows tablet to boy</t>
  </si>
  <si>
    <t>woman and boy look at tablet</t>
  </si>
  <si>
    <t>woman smiling and holding tablet, boy smiling and giving thumbs up</t>
  </si>
  <si>
    <t>boy writes in a book</t>
  </si>
  <si>
    <t>boy claps his hands</t>
  </si>
  <si>
    <t>boy rests his head on his hand</t>
  </si>
  <si>
    <t>boy and another person give a high-five</t>
  </si>
  <si>
    <t>boy moves his book and picks up a tablet</t>
  </si>
  <si>
    <t>boy looks at the tablet screen</t>
  </si>
  <si>
    <t>boy taps the tablet screen</t>
  </si>
  <si>
    <t>boy watching tablet</t>
  </si>
  <si>
    <t>boy smiling and cheering</t>
  </si>
  <si>
    <t>boy grabbing toy plane</t>
  </si>
  <si>
    <t>boy playing with toy plane</t>
  </si>
  <si>
    <t>boy smiling and playing with toy plane</t>
  </si>
  <si>
    <t>boy twisting toy plane</t>
  </si>
  <si>
    <t>boy putting toy plane down</t>
  </si>
  <si>
    <t>boy is sitting</t>
  </si>
  <si>
    <t>boy closes book</t>
  </si>
  <si>
    <t>boy picks up tablet</t>
  </si>
  <si>
    <t>boy taps tablet screen</t>
  </si>
  <si>
    <t>boy swipes tablet screen</t>
  </si>
  <si>
    <t>boy watches tablet</t>
  </si>
  <si>
    <t>boy is writing in a book</t>
  </si>
  <si>
    <t>boy is counting with his fingers</t>
  </si>
  <si>
    <t>boy is putting his head down</t>
  </si>
  <si>
    <t>boy covering face with hands</t>
  </si>
  <si>
    <t>boy touches tablet</t>
  </si>
  <si>
    <t>boy raises fists and celebrates</t>
  </si>
  <si>
    <t>boy sighing</t>
  </si>
  <si>
    <t>boy clenching his hand</t>
  </si>
  <si>
    <t>boy tapping on the paper</t>
  </si>
  <si>
    <t>boy looking at the paper</t>
  </si>
  <si>
    <t>boy turning the page</t>
  </si>
  <si>
    <t>boy touching the paper</t>
  </si>
  <si>
    <t>boy speaking</t>
  </si>
  <si>
    <t>woman looking at papers</t>
  </si>
  <si>
    <t>woman flipping papers</t>
  </si>
  <si>
    <t>woman gesturing with hands</t>
  </si>
  <si>
    <t>woman resting head on hand</t>
  </si>
  <si>
    <t>woman looking around</t>
  </si>
  <si>
    <t>woman holding and flipping pages of a book</t>
  </si>
  <si>
    <t>woman closing a book</t>
  </si>
  <si>
    <t>woman pointing index finger up</t>
  </si>
  <si>
    <t>woman looking at camera and smiling</t>
  </si>
  <si>
    <t>woman holding cup</t>
  </si>
  <si>
    <t>woman drinking from cup</t>
  </si>
  <si>
    <t>woman holding cup and smiling</t>
  </si>
  <si>
    <t>woman holding tablet and cup</t>
  </si>
  <si>
    <t>woman lowering cup</t>
  </si>
  <si>
    <t>woman smiling at tablet</t>
  </si>
  <si>
    <t>girl and man looking at tablet</t>
  </si>
  <si>
    <t>girl holding tablet and pointing at screen</t>
  </si>
  <si>
    <t>girl tapping button on tablet</t>
  </si>
  <si>
    <t>girl looking at tablet screen</t>
  </si>
  <si>
    <t>girl looking at tablet showing results</t>
  </si>
  <si>
    <t>girl tapping on input field</t>
  </si>
  <si>
    <t>girl tapping submit button</t>
  </si>
  <si>
    <t>girl smiling and man smiling at camera</t>
  </si>
  <si>
    <t>man writing on paper</t>
  </si>
  <si>
    <t>girl pouting and looking at paper</t>
  </si>
  <si>
    <t>girl resting her head on hand</t>
  </si>
  <si>
    <t>girl pointing finger up</t>
  </si>
  <si>
    <t>girl picking up tablet</t>
  </si>
  <si>
    <t>girl tapping on tablet to open keyboard</t>
  </si>
  <si>
    <t>girl looking at tablet screen with man</t>
  </si>
  <si>
    <t>girl smiling and making V-sign</t>
  </si>
  <si>
    <t>girl looks to the side and makes a face</t>
  </si>
  <si>
    <t>girl touches her forehead</t>
  </si>
  <si>
    <t>girl holds up a paper with calculations</t>
  </si>
  <si>
    <t>girl smiling and cheering, man giving thumbs up</t>
  </si>
  <si>
    <t>girl writing and resting hand on forehead</t>
  </si>
  <si>
    <t>girl resting hand on chin</t>
  </si>
  <si>
    <t>girl reaching for tablet</t>
  </si>
  <si>
    <t>girl picking up tablet and smiling</t>
  </si>
  <si>
    <t>man is drinking from a glass and watching a tablet</t>
  </si>
  <si>
    <t>man is smiling</t>
  </si>
  <si>
    <t>man is watching a tablet and holding a glass</t>
  </si>
  <si>
    <t>man holds book and bites finger</t>
  </si>
  <si>
    <t>man removes finger from mouth and looks up</t>
  </si>
  <si>
    <t>man raises index finger and smiles</t>
  </si>
  <si>
    <t>man is holding a book and looking at it</t>
  </si>
  <si>
    <t>man is writing in the book</t>
  </si>
  <si>
    <t>girl writing on a notebook</t>
  </si>
  <si>
    <t>girl resting her head on the table</t>
  </si>
  <si>
    <t>girl writes in a book</t>
  </si>
  <si>
    <t>girl rests chin on hand</t>
  </si>
  <si>
    <t>girl puts down pencil and reaches for tablet</t>
  </si>
  <si>
    <t>girl pulls tablet onto desk and watches video</t>
  </si>
  <si>
    <t>girl picking up mirror</t>
  </si>
  <si>
    <t>girl looking in mirror</t>
  </si>
  <si>
    <t>girl holding mirror</t>
  </si>
  <si>
    <t>girl turning her head</t>
  </si>
  <si>
    <t>girl looking down</t>
  </si>
  <si>
    <t>girl making a peace sign</t>
  </si>
  <si>
    <t>girl looks at tablet</t>
  </si>
  <si>
    <t>girl touches tablet</t>
  </si>
  <si>
    <t>girl taps tablet</t>
  </si>
  <si>
    <t>girl lifts hand from tablet</t>
  </si>
  <si>
    <t>girl rubs her head and writes</t>
  </si>
  <si>
    <t>girl rests her head on hand and writes</t>
  </si>
  <si>
    <t>girl rubs her head</t>
  </si>
  <si>
    <t>girl pouts and rubs her head</t>
  </si>
  <si>
    <t>girl holds paper and looks at camera</t>
  </si>
  <si>
    <t>girl rests her head on her hand while holding paper</t>
  </si>
  <si>
    <t>girl holds paper while camera zooms in on paper</t>
  </si>
  <si>
    <t>girl rests her head on her hand and holds paper</t>
  </si>
  <si>
    <t>girl writing on a book</t>
  </si>
  <si>
    <t>girl writing and smiling</t>
  </si>
  <si>
    <t>girl playing with pen</t>
  </si>
  <si>
    <t>girl leaning on hands and looking at paper</t>
  </si>
  <si>
    <t>girl looking at camera</t>
  </si>
  <si>
    <t>girl using fingers to count</t>
  </si>
  <si>
    <t>girl closing book</t>
  </si>
  <si>
    <t>girl smiles and raises hand</t>
  </si>
  <si>
    <t>girl holds paper</t>
  </si>
  <si>
    <t>girl holds paper and smiles</t>
  </si>
  <si>
    <t>girl yawning</t>
  </si>
  <si>
    <t>girl covering mouth with hand</t>
  </si>
  <si>
    <t>girl smiling with eyes closed</t>
  </si>
  <si>
    <t>girl holding her head in hands</t>
  </si>
  <si>
    <t>girl closing her book</t>
  </si>
  <si>
    <t>girl placing book on the table</t>
  </si>
  <si>
    <t>girl picking up pen</t>
  </si>
  <si>
    <t>girl opening tablet cover</t>
  </si>
  <si>
    <t>girl setting up tablet stand</t>
  </si>
  <si>
    <t>girl unlocking tablet</t>
  </si>
  <si>
    <t>girl swiping on tablet</t>
  </si>
  <si>
    <t>girl scrolling through photos on tablet</t>
  </si>
  <si>
    <t>girl viewing a video on tablet</t>
  </si>
  <si>
    <t>girl moving hands</t>
  </si>
  <si>
    <t>woman and girl giving thumbs up</t>
  </si>
  <si>
    <t>woman and girl pointing at tablet</t>
  </si>
  <si>
    <t>woman smiling and looking at phone</t>
  </si>
  <si>
    <t>woman drinking from cup and looking at phone</t>
  </si>
  <si>
    <t>woman turning pages of a book</t>
  </si>
  <si>
    <t>woman resting her chin on her hand and looking at the book</t>
  </si>
  <si>
    <t>woman looking up and smiling</t>
  </si>
  <si>
    <t>woman and girl looking at book</t>
  </si>
  <si>
    <t>woman and girl talking</t>
  </si>
  <si>
    <t>woman and girl interacting with tablet</t>
  </si>
  <si>
    <t>girl turning page in book</t>
  </si>
  <si>
    <t>girl placing tablet on table</t>
  </si>
  <si>
    <t>person's hands are present near a tablet</t>
  </si>
  <si>
    <t>girl holds a paper and smiles</t>
  </si>
  <si>
    <t>girl smiling and giving thumbs-up</t>
  </si>
  <si>
    <t>woman holding tablet, both looking at tablet</t>
  </si>
  <si>
    <t>woman adjusting tablet, both looking at tablet</t>
  </si>
  <si>
    <t>woman and girl smiling and giving thumbs up</t>
  </si>
  <si>
    <t>woman helping girl write</t>
  </si>
  <si>
    <t>woman placing tablet on table</t>
  </si>
  <si>
    <t>woman adjusting tablet</t>
  </si>
  <si>
    <t>girl covering her face with paper</t>
  </si>
  <si>
    <t>girl placing paper on table</t>
  </si>
  <si>
    <t>girl reading a paper</t>
  </si>
  <si>
    <t>girl pointing at book</t>
  </si>
  <si>
    <t>girl looking at book</t>
  </si>
  <si>
    <t>girl resting head on arm</t>
  </si>
  <si>
    <t>girl scratching her head</t>
  </si>
  <si>
    <t>girl looking at a book</t>
  </si>
  <si>
    <t>tablet displaying video</t>
  </si>
  <si>
    <t>girl's hands resting on table</t>
  </si>
  <si>
    <t>girl looking at tablet and smiling</t>
  </si>
  <si>
    <t>woman turning book</t>
  </si>
  <si>
    <t>woman thinking with book under chin</t>
  </si>
  <si>
    <t>woman smiling and pointing at book</t>
  </si>
  <si>
    <t>woman looking down at a book</t>
  </si>
  <si>
    <t>woman writing in a book</t>
  </si>
  <si>
    <t>woman adjusting hand</t>
  </si>
  <si>
    <t>woman holding smartphone</t>
  </si>
  <si>
    <t>woman looking at smartphone</t>
  </si>
  <si>
    <t>woman stretching</t>
  </si>
  <si>
    <t>woman touching tablet, girl watching</t>
  </si>
  <si>
    <t>woman picking up tablet, girl watching</t>
  </si>
  <si>
    <t>woman placing down and picking up tablet, girl watching</t>
  </si>
  <si>
    <t>woman and girl looking at tablet, woman touching screen</t>
  </si>
  <si>
    <t>woman holding tablet, girl giving thumbs up, woman and girl smiling</t>
  </si>
  <si>
    <t>woman holding tablet, woman and girl giving thumbs up, woman and girl smiling</t>
  </si>
  <si>
    <t>girl counting on fingers</t>
  </si>
  <si>
    <t>girl resting head on desk</t>
  </si>
  <si>
    <t>woman writing on book</t>
  </si>
  <si>
    <t>woman looking down at book</t>
  </si>
  <si>
    <t>woman flipping page of book</t>
  </si>
  <si>
    <t>woman raising index finger</t>
  </si>
  <si>
    <t>woman looking down</t>
  </si>
  <si>
    <t>woman picking up phone</t>
  </si>
  <si>
    <t>woman drinking from cup while looking at phone</t>
  </si>
  <si>
    <t>woman looking up at camera</t>
  </si>
  <si>
    <t>woman looking at papers and mumbling</t>
  </si>
  <si>
    <t>girl holds up a paper</t>
  </si>
  <si>
    <t>girl sitting at a desk looking at a tablet</t>
  </si>
  <si>
    <t>girl looking at camera and smiling</t>
  </si>
  <si>
    <t>girl clenching her hand</t>
  </si>
  <si>
    <t>girl resting head on book</t>
  </si>
  <si>
    <t>girl turning head and giving thumbs up</t>
  </si>
  <si>
    <t>girl turning head back and watching tablet</t>
  </si>
  <si>
    <t>girl's hand writing on paper</t>
  </si>
  <si>
    <t>girl tapping tablet screen</t>
  </si>
  <si>
    <t>girl raising hands</t>
  </si>
  <si>
    <t>girl smiling and looking at camera</t>
  </si>
  <si>
    <t>woman opening tablet</t>
  </si>
  <si>
    <t>girl stretching arms up</t>
  </si>
  <si>
    <t>woman and girl smiling at camera</t>
  </si>
  <si>
    <t>woman writes on paper</t>
  </si>
  <si>
    <t>woman touches her neck</t>
  </si>
  <si>
    <t>woman looks around</t>
  </si>
  <si>
    <t>woman points her finger up</t>
  </si>
  <si>
    <t>woman sipping from mug while lying on couch and holding slipper</t>
  </si>
  <si>
    <t>woman smiling while lying on couch and holding mug and slipper</t>
  </si>
  <si>
    <t>woman opening tablet cover</t>
  </si>
  <si>
    <t>woman giving thumbs up, girl giving thumbs up</t>
  </si>
  <si>
    <t>girl rests head on hands</t>
  </si>
  <si>
    <t>girl drawing on a paper</t>
  </si>
  <si>
    <t>girl resting her chin on her hand</t>
  </si>
  <si>
    <t>girl resting head on table</t>
  </si>
  <si>
    <t>girl turning to camera and smiling</t>
  </si>
  <si>
    <t>girl holding paper, girl smiling, girl laughing loudly</t>
  </si>
  <si>
    <t>woman talking to girl and pointing at paper; girl looking at paper and writing</t>
  </si>
  <si>
    <t>woman resting chin on hand and looking up, then looking at girl; girl writing on paper</t>
  </si>
  <si>
    <t>woman moving away from girl; girl writing on paper</t>
  </si>
  <si>
    <t>woman returning with tablet</t>
  </si>
  <si>
    <t>woman and girl holding tablet and smiling; girl pointing at tablet</t>
  </si>
  <si>
    <t>woman points to tablet</t>
  </si>
  <si>
    <t>woman and girl give thumbs up</t>
  </si>
  <si>
    <t>woman looking at paper</t>
  </si>
  <si>
    <t>woman covering her face</t>
  </si>
  <si>
    <t>woman touching her wrist</t>
  </si>
  <si>
    <t>woman resting hand on face and looking thoughtful</t>
  </si>
  <si>
    <t>woman smiling and looking up</t>
  </si>
  <si>
    <t>woman holding a tablet</t>
  </si>
  <si>
    <t>woman drinking from a mug</t>
  </si>
  <si>
    <t>woman placing down a mug</t>
  </si>
  <si>
    <t>girl touching eye</t>
  </si>
  <si>
    <t>girl lifting head</t>
  </si>
  <si>
    <t>girl lifting notebook</t>
  </si>
  <si>
    <t>girl holding notebook up</t>
  </si>
  <si>
    <t>girl writing in a notebook</t>
  </si>
  <si>
    <t>girl fiddling with an eraser</t>
  </si>
  <si>
    <t>Tablet displays mathematical equation</t>
  </si>
  <si>
    <t>Tablet displays a star animation</t>
  </si>
  <si>
    <t>Girl gives a thumbs up</t>
  </si>
  <si>
    <t>Girl smiles at the camera</t>
  </si>
  <si>
    <t>woman holding a paper</t>
  </si>
  <si>
    <t>girl studying</t>
  </si>
  <si>
    <t>girl scratching head</t>
  </si>
  <si>
    <t>girl looking annoyed</t>
  </si>
  <si>
    <t>girl using ruler</t>
  </si>
  <si>
    <t>girl writes in book</t>
  </si>
  <si>
    <t>girl closes book</t>
  </si>
  <si>
    <t>girl pushes book aside</t>
  </si>
  <si>
    <t>girl picks up and looks at tablet</t>
  </si>
  <si>
    <t>girl touching tablet</t>
  </si>
  <si>
    <t>girl smiling and making peace signs with hands</t>
  </si>
  <si>
    <t>girl scratching her ear</t>
  </si>
  <si>
    <t>girl holding her head</t>
  </si>
  <si>
    <t>girl resting her head on the book</t>
  </si>
  <si>
    <t>girl resting head on hand and looking down at book</t>
  </si>
  <si>
    <t>girl looking to the right and back down</t>
  </si>
  <si>
    <t>girl smiles and holds paper</t>
  </si>
  <si>
    <t>girl holds paper close to camera</t>
  </si>
  <si>
    <t>girl sitting at table</t>
  </si>
  <si>
    <t>girl putting down book</t>
  </si>
  <si>
    <t>girl holding pencil case</t>
  </si>
  <si>
    <t>girl putting down pencil case</t>
  </si>
  <si>
    <t>girl picking up phone</t>
  </si>
  <si>
    <t>girl looking at phone</t>
  </si>
  <si>
    <t>girl smiling at phone</t>
  </si>
  <si>
    <t>girl laughing at phone</t>
  </si>
  <si>
    <t>girl using a tablet</t>
  </si>
  <si>
    <t>girl typing on a tablet</t>
  </si>
  <si>
    <t>girl tapping on the tablet</t>
  </si>
  <si>
    <t>girl touching a pop-up on the tablet</t>
  </si>
  <si>
    <t>girl looking at the tablet</t>
  </si>
  <si>
    <t>girl looking at the camera</t>
  </si>
  <si>
    <t>girl smiling at the camera</t>
  </si>
  <si>
    <t>woman puts hand on head</t>
  </si>
  <si>
    <t>woman looks down at book</t>
  </si>
  <si>
    <t>woman points finger up</t>
  </si>
  <si>
    <t>woman smiling and looking at tablet</t>
  </si>
  <si>
    <t>woman looks at book and points with pen</t>
  </si>
  <si>
    <t>woman flips page</t>
  </si>
  <si>
    <t>woman places hand on forehead</t>
  </si>
  <si>
    <t>woman looks at book</t>
  </si>
  <si>
    <t>girl is holding a pencil and counting on fingers</t>
  </si>
  <si>
    <t>girl is covering her eyes</t>
  </si>
  <si>
    <t>girl is touching her head</t>
  </si>
  <si>
    <t>girl is holding her head with both hands</t>
  </si>
  <si>
    <t>girl is putting her face in her hands</t>
  </si>
  <si>
    <t>girl picks up pen</t>
  </si>
  <si>
    <t>girl holds toy</t>
  </si>
  <si>
    <t>girl interacts with toy</t>
  </si>
  <si>
    <t>girl puts down toy</t>
  </si>
  <si>
    <t>girl picks up ruler</t>
  </si>
  <si>
    <t>girl points with ruler</t>
  </si>
  <si>
    <t>girl raising two fingers</t>
  </si>
  <si>
    <t>tablet displaying screen</t>
  </si>
  <si>
    <t>girl holding paper and smiling</t>
  </si>
  <si>
    <t>girl shaking paper and smiling</t>
  </si>
  <si>
    <t>girl holding paper closer to camera and smiling</t>
  </si>
  <si>
    <t>woman and girl looking at a book</t>
  </si>
  <si>
    <t>girl pointing at the book</t>
  </si>
  <si>
    <t>woman picking up a tablet</t>
  </si>
  <si>
    <t>woman showing a tablet to the girl</t>
  </si>
  <si>
    <t>woman and girl making V-sign</t>
  </si>
  <si>
    <t>girl writing in book and touching hair</t>
  </si>
  <si>
    <t>girl expressing frustration and pulling hair</t>
  </si>
  <si>
    <t>boy putting down pen</t>
  </si>
  <si>
    <t>boy playing with a toy</t>
  </si>
  <si>
    <t>Boy writing on paper</t>
  </si>
  <si>
    <t>Boy picking up tablet</t>
  </si>
  <si>
    <t>Boy playing game on tablet</t>
  </si>
  <si>
    <t>woman turning page</t>
  </si>
  <si>
    <t>woman touching chin</t>
  </si>
  <si>
    <t>woman flips papers</t>
  </si>
  <si>
    <t>woman places paper</t>
  </si>
  <si>
    <t>woman looks at paper</t>
  </si>
  <si>
    <t>woman rests chin on hand</t>
  </si>
  <si>
    <t>woman picks up paper</t>
  </si>
  <si>
    <t>woman points at paper</t>
  </si>
  <si>
    <t>woman taps paper</t>
  </si>
  <si>
    <t>boy counting on fingers</t>
  </si>
  <si>
    <t>boy resting head on table</t>
  </si>
  <si>
    <t>boy putting paper aside</t>
  </si>
  <si>
    <t>woman wagging finger at boy</t>
  </si>
  <si>
    <t>woman showing tablet to boy</t>
  </si>
  <si>
    <t>woman and boy giving thumbs up</t>
  </si>
  <si>
    <t>boy working on math homework</t>
  </si>
  <si>
    <t>boy using his fingers to count on the math homework</t>
  </si>
  <si>
    <t>boy looking at his test paper with a frustrated expression</t>
  </si>
  <si>
    <t>boy holding up his test paper with red crosses all over it</t>
  </si>
  <si>
    <t>person pointing at the tablet screen</t>
  </si>
  <si>
    <t>person scrolling through the tablet screen</t>
  </si>
  <si>
    <t>boy pointing at the tablet screen</t>
  </si>
  <si>
    <t>boy typing on the tablet screen</t>
  </si>
  <si>
    <t>boy looking at the tablet screen and smiling</t>
  </si>
  <si>
    <t>boy tapping on the tablet screen</t>
  </si>
  <si>
    <t>boy tapping on the tablet screen and a red X appears</t>
  </si>
  <si>
    <t>person pointing at the tablet screen showing a math problem solution</t>
  </si>
  <si>
    <t>boy looking at the tablet screen intently</t>
  </si>
  <si>
    <t>boy holding up a test paper with correct answers and smiling</t>
  </si>
  <si>
    <t>boy rubbing his head</t>
  </si>
  <si>
    <t>boy smiling and raising hand</t>
  </si>
  <si>
    <t>boy looking down and adjusting shirt</t>
  </si>
  <si>
    <t>boy tapping on tablet</t>
  </si>
  <si>
    <t>boy raising arms and smiling</t>
  </si>
  <si>
    <t>woman looking at phone and smiling</t>
  </si>
  <si>
    <t>woman and boy holding tablet</t>
  </si>
  <si>
    <t>boy looks down at paper</t>
  </si>
  <si>
    <t>boy lifts head and paper</t>
  </si>
  <si>
    <t>boy holds paper up and turns it</t>
  </si>
  <si>
    <t>boy holds paper up and looks at camera</t>
  </si>
  <si>
    <t>girl picking up a tablet</t>
  </si>
  <si>
    <t>girl unlocking and watching a tablet</t>
  </si>
  <si>
    <t>girl writing in book, woman watching</t>
  </si>
  <si>
    <t>girl speaking, woman listening</t>
  </si>
  <si>
    <t>woman kissing girl</t>
  </si>
  <si>
    <t>girl holding tablet</t>
  </si>
  <si>
    <t>woman and girl sitting at table</t>
  </si>
  <si>
    <t>woman and girl looking at camera</t>
  </si>
  <si>
    <t>woman and girl holding tablet</t>
  </si>
  <si>
    <t>girl sighing</t>
  </si>
  <si>
    <t>paper showing score</t>
  </si>
  <si>
    <t>girl shouting excitedly</t>
  </si>
  <si>
    <t>camera zooming in on girl's paper</t>
  </si>
  <si>
    <t>girl turning to face camera</t>
  </si>
  <si>
    <t>girl making a fist and smiling</t>
  </si>
  <si>
    <t>woman reading paper</t>
  </si>
  <si>
    <t>woman smiling and pointing up</t>
  </si>
  <si>
    <t>girl counting on fingers and writing in book</t>
  </si>
  <si>
    <t>girl playing with toys</t>
  </si>
  <si>
    <t>girl drawing in a 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</si>
</sst>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0" fillId="2" fontId="1" numFmtId="0" xfId="0" applyAlignment="1" applyFill="1" applyFont="1">
      <alignment readingOrder="0" shrinkToFit="0" vertical="top" wrapText="0"/>
    </xf>
    <xf borderId="0" fillId="0" fontId="1" numFmtId="0" xfId="0" applyAlignment="1" applyFont="1">
      <alignment shrinkToFit="0" vertical="top" wrapText="0"/>
    </xf>
    <xf borderId="0" fillId="2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0"/>
    </xf>
    <xf borderId="0" fillId="2" fontId="1" numFmtId="0" xfId="0" applyAlignment="1" applyFont="1">
      <alignment readingOrder="0" shrinkToFit="0" vertical="top" wrapText="0"/>
    </xf>
    <xf borderId="0" fillId="2" fontId="1" numFmtId="0" xfId="0" applyAlignment="1" applyFont="1">
      <alignment shrinkToFit="0" vertical="top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RNsl9RHMkohF0RS19j2BxazEReyl59Iv/view?usp=drivesdk" TargetMode="External"/><Relationship Id="rId190" Type="http://schemas.openxmlformats.org/officeDocument/2006/relationships/hyperlink" Target="https://drive.google.com/file/d/1fRGAhpiz5JEoMmko6FpGztAGIfaSg9EA/view?usp=drivesdk" TargetMode="External"/><Relationship Id="rId42" Type="http://schemas.openxmlformats.org/officeDocument/2006/relationships/hyperlink" Target="https://drive.google.com/file/d/1Ok9Q4DsKlArB0adFRwrJM5ZJ4UW_HJ89/view?usp=drivesdk" TargetMode="External"/><Relationship Id="rId41" Type="http://schemas.openxmlformats.org/officeDocument/2006/relationships/hyperlink" Target="https://drive.google.com/file/d/1Ok9Q4DsKlArB0adFRwrJM5ZJ4UW_HJ89/view?usp=drivesdk" TargetMode="External"/><Relationship Id="rId44" Type="http://schemas.openxmlformats.org/officeDocument/2006/relationships/hyperlink" Target="https://drive.google.com/file/d/1sYGX8QhA7pe3QGpd6Oo1MlKiBS4wwCXs/view?usp=drivesdk" TargetMode="External"/><Relationship Id="rId194" Type="http://schemas.openxmlformats.org/officeDocument/2006/relationships/hyperlink" Target="https://drive.google.com/file/d/1NlB8TH7qhARAEGdS0P_DYluimPjojiMh/view?usp=drivesdk" TargetMode="External"/><Relationship Id="rId43" Type="http://schemas.openxmlformats.org/officeDocument/2006/relationships/hyperlink" Target="https://drive.google.com/file/d/1sYGX8QhA7pe3QGpd6Oo1MlKiBS4wwCXs/view?usp=drivesdk" TargetMode="External"/><Relationship Id="rId193" Type="http://schemas.openxmlformats.org/officeDocument/2006/relationships/hyperlink" Target="https://drive.google.com/file/d/1APaMGV6uISI1mKgP4rbwlLjpze49EhrE/view?usp=drivesdk" TargetMode="External"/><Relationship Id="rId46" Type="http://schemas.openxmlformats.org/officeDocument/2006/relationships/hyperlink" Target="https://drive.google.com/file/d/1mscOA3dU08LF4FlybMWQB4V2ErRzKy_C/view?usp=drivesdk" TargetMode="External"/><Relationship Id="rId192" Type="http://schemas.openxmlformats.org/officeDocument/2006/relationships/hyperlink" Target="https://drive.google.com/file/d/1PTMnblOTvBxVFk-I6ytJdfVr1rkZxUKU/view?usp=drivesdk" TargetMode="External"/><Relationship Id="rId45" Type="http://schemas.openxmlformats.org/officeDocument/2006/relationships/hyperlink" Target="https://drive.google.com/file/d/1mscOA3dU08LF4FlybMWQB4V2ErRzKy_C/view?usp=drivesdk" TargetMode="External"/><Relationship Id="rId191" Type="http://schemas.openxmlformats.org/officeDocument/2006/relationships/hyperlink" Target="https://drive.google.com/file/d/1VOy76tjTwhkURkoAUXYUFHGnl19wJoAR/view?usp=drivesdk" TargetMode="External"/><Relationship Id="rId48" Type="http://schemas.openxmlformats.org/officeDocument/2006/relationships/hyperlink" Target="https://drive.google.com/file/d/18NYZO54Nftb_fj7lSU6RlP7JMIgUHUfb/view?usp=drivesdk" TargetMode="External"/><Relationship Id="rId187" Type="http://schemas.openxmlformats.org/officeDocument/2006/relationships/hyperlink" Target="https://drive.google.com/file/d/1k5bOPltpzd8Mu7RlkO8Z1SHiOLgcDFpi/view?usp=drivesdk" TargetMode="External"/><Relationship Id="rId47" Type="http://schemas.openxmlformats.org/officeDocument/2006/relationships/hyperlink" Target="https://drive.google.com/file/d/18NYZO54Nftb_fj7lSU6RlP7JMIgUHUfb/view?usp=drivesdk" TargetMode="External"/><Relationship Id="rId186" Type="http://schemas.openxmlformats.org/officeDocument/2006/relationships/hyperlink" Target="https://drive.google.com/file/d/1UqTEls4xiGztW-mA65x6sF1EDKP8kY1J/view?usp=drivesdk" TargetMode="External"/><Relationship Id="rId185" Type="http://schemas.openxmlformats.org/officeDocument/2006/relationships/hyperlink" Target="https://drive.google.com/file/d/1wJJvSUBQevkwGXxIKpG1rFrr5NktZ4-W/view?usp=drivesdk" TargetMode="External"/><Relationship Id="rId49" Type="http://schemas.openxmlformats.org/officeDocument/2006/relationships/hyperlink" Target="https://drive.google.com/file/d/1CAygu4CyNNSpoX594_Gc5FE5bPdENZUn/view?usp=drivesdk" TargetMode="External"/><Relationship Id="rId184" Type="http://schemas.openxmlformats.org/officeDocument/2006/relationships/hyperlink" Target="https://drive.google.com/file/d/1Ea2PHYOcBr4Rqi7hpMj8rIu994MqfoPT/view?usp=drivesdk" TargetMode="External"/><Relationship Id="rId189" Type="http://schemas.openxmlformats.org/officeDocument/2006/relationships/hyperlink" Target="https://drive.google.com/file/d/1LyyQDlIInyOjq7bee1vGDfBMitQA3rTm/view?usp=drivesdk" TargetMode="External"/><Relationship Id="rId188" Type="http://schemas.openxmlformats.org/officeDocument/2006/relationships/hyperlink" Target="https://drive.google.com/file/d/17SzH0X9TqKqq03KhGwoG3GXRzE9q4L_2/view?usp=drivesdk" TargetMode="External"/><Relationship Id="rId31" Type="http://schemas.openxmlformats.org/officeDocument/2006/relationships/hyperlink" Target="https://drive.google.com/file/d/1zOkOPDi-K-J7ozpjORLnMxabYxapVqfX/view?usp=drivesdk" TargetMode="External"/><Relationship Id="rId30" Type="http://schemas.openxmlformats.org/officeDocument/2006/relationships/hyperlink" Target="https://drive.google.com/file/d/1zzV46-78QF-E0mi6h8W3bFiET7y_ql2g/view?usp=drivesdk" TargetMode="External"/><Relationship Id="rId33" Type="http://schemas.openxmlformats.org/officeDocument/2006/relationships/hyperlink" Target="https://drive.google.com/file/d/1bq6gd6NIy3J8vO7xfGtYrfTCi6_9kCI2/view?usp=drivesdk" TargetMode="External"/><Relationship Id="rId183" Type="http://schemas.openxmlformats.org/officeDocument/2006/relationships/hyperlink" Target="https://drive.google.com/file/d/17rJ6K3C3kgvWHoO_Y4ddFVFcpr68xCN8/view?usp=drivesdk" TargetMode="External"/><Relationship Id="rId32" Type="http://schemas.openxmlformats.org/officeDocument/2006/relationships/hyperlink" Target="https://drive.google.com/file/d/1zOkOPDi-K-J7ozpjORLnMxabYxapVqfX/view?usp=drivesdk" TargetMode="External"/><Relationship Id="rId182" Type="http://schemas.openxmlformats.org/officeDocument/2006/relationships/hyperlink" Target="https://drive.google.com/file/d/1Gdl2PV9JwSMyoaUvzRblQTqbLg4gyv1Z/view?usp=drivesdk" TargetMode="External"/><Relationship Id="rId35" Type="http://schemas.openxmlformats.org/officeDocument/2006/relationships/hyperlink" Target="https://drive.google.com/file/d/16x8YYPANBvKMZKFG4XYLaD27nGuKseWW/view?usp=drivesdk" TargetMode="External"/><Relationship Id="rId181" Type="http://schemas.openxmlformats.org/officeDocument/2006/relationships/hyperlink" Target="https://drive.google.com/file/d/17VPmfsX5UmQCWk7NBIoj7-X9sy8sBAss/view?usp=drivesdk" TargetMode="External"/><Relationship Id="rId34" Type="http://schemas.openxmlformats.org/officeDocument/2006/relationships/hyperlink" Target="https://drive.google.com/file/d/1bq6gd6NIy3J8vO7xfGtYrfTCi6_9kCI2/view?usp=drivesdk" TargetMode="External"/><Relationship Id="rId180" Type="http://schemas.openxmlformats.org/officeDocument/2006/relationships/hyperlink" Target="https://drive.google.com/file/d/1qpH7nkWsncmrnPnQL0gyHSiaH-0t1osQ/view?usp=drivesdk" TargetMode="External"/><Relationship Id="rId37" Type="http://schemas.openxmlformats.org/officeDocument/2006/relationships/hyperlink" Target="https://drive.google.com/file/d/12hfcSnXWNeGqg3bZggTsVjYpR_4Ag5ZU/view?usp=drivesdk" TargetMode="External"/><Relationship Id="rId176" Type="http://schemas.openxmlformats.org/officeDocument/2006/relationships/hyperlink" Target="https://drive.google.com/file/d/1SYI_pqY2c_xsl5nFrZW_EhfHZ-YTXTiA/view?usp=drivesdk" TargetMode="External"/><Relationship Id="rId297" Type="http://schemas.openxmlformats.org/officeDocument/2006/relationships/hyperlink" Target="https://drive.google.com/file/d/1_xtFAK6sS7w6zB99I1YLZbUrxEsetTK0/view?usp=drivesdk" TargetMode="External"/><Relationship Id="rId36" Type="http://schemas.openxmlformats.org/officeDocument/2006/relationships/hyperlink" Target="https://drive.google.com/file/d/16x8YYPANBvKMZKFG4XYLaD27nGuKseWW/view?usp=drivesdk" TargetMode="External"/><Relationship Id="rId175" Type="http://schemas.openxmlformats.org/officeDocument/2006/relationships/hyperlink" Target="https://drive.google.com/file/d/1dq5Ews7VO0sr8f2JBodxucA3fP6dSSaG/view?usp=drivesdk" TargetMode="External"/><Relationship Id="rId296" Type="http://schemas.openxmlformats.org/officeDocument/2006/relationships/hyperlink" Target="https://drive.google.com/file/d/1btfJ91qLI4-sTjo4P7oXgeWkTNZdFO_6/view?usp=drivesdk" TargetMode="External"/><Relationship Id="rId39" Type="http://schemas.openxmlformats.org/officeDocument/2006/relationships/hyperlink" Target="https://drive.google.com/file/d/1RNsl9RHMkohF0RS19j2BxazEReyl59Iv/view?usp=drivesdk" TargetMode="External"/><Relationship Id="rId174" Type="http://schemas.openxmlformats.org/officeDocument/2006/relationships/hyperlink" Target="https://drive.google.com/file/d/1SraLtbA6P1AGfmXsl5RVXdmL5lW6OJx8/view?usp=drivesdk" TargetMode="External"/><Relationship Id="rId295" Type="http://schemas.openxmlformats.org/officeDocument/2006/relationships/hyperlink" Target="https://drive.google.com/file/d/1xYOIOvRnDzg4q2jxELExJYAWW7iC8h3Q/view?usp=drivesdk" TargetMode="External"/><Relationship Id="rId38" Type="http://schemas.openxmlformats.org/officeDocument/2006/relationships/hyperlink" Target="https://drive.google.com/file/d/12hfcSnXWNeGqg3bZggTsVjYpR_4Ag5ZU/view?usp=drivesdk" TargetMode="External"/><Relationship Id="rId173" Type="http://schemas.openxmlformats.org/officeDocument/2006/relationships/hyperlink" Target="https://drive.google.com/file/d/1MDm3iabBMeeUfoHr7NnnDma1Irq7OFBR/view?usp=drivesdk" TargetMode="External"/><Relationship Id="rId294" Type="http://schemas.openxmlformats.org/officeDocument/2006/relationships/hyperlink" Target="https://drive.google.com/file/d/1LMoeCQWZLntNphpszPIJE9dx2bwKlxJh/view?usp=drivesdk" TargetMode="External"/><Relationship Id="rId179" Type="http://schemas.openxmlformats.org/officeDocument/2006/relationships/hyperlink" Target="https://drive.google.com/file/d/1cKl3fGNKuQ-1nNz3w31g3B2QbrBWFDvp/view?usp=drivesdk" TargetMode="External"/><Relationship Id="rId178" Type="http://schemas.openxmlformats.org/officeDocument/2006/relationships/hyperlink" Target="https://drive.google.com/file/d/16cYZ_xORKBSYfa_Vv01clTEn8av63DjZ/view?usp=drivesdk" TargetMode="External"/><Relationship Id="rId299" Type="http://schemas.openxmlformats.org/officeDocument/2006/relationships/hyperlink" Target="https://drive.google.com/file/d/1CCEkGJF9SKtYsJ0Qn9vFrGvfNRP6IoFV/view?usp=drivesdk" TargetMode="External"/><Relationship Id="rId177" Type="http://schemas.openxmlformats.org/officeDocument/2006/relationships/hyperlink" Target="https://drive.google.com/file/d/1Fg_O6QMfW6x4n1Xc3a0PF49Vnt495dAH/view?usp=drivesdk" TargetMode="External"/><Relationship Id="rId298" Type="http://schemas.openxmlformats.org/officeDocument/2006/relationships/hyperlink" Target="https://drive.google.com/file/d/1Ne_HrqWxGq4Tyy1gs6OJiHV6V3aeS2u5/view?usp=drivesdk" TargetMode="External"/><Relationship Id="rId20" Type="http://schemas.openxmlformats.org/officeDocument/2006/relationships/hyperlink" Target="https://drive.google.com/file/d/128T67uXLBJ6Ky9AxU4-C6aLpfzk-0RJ9/view?usp=drivesdk" TargetMode="External"/><Relationship Id="rId22" Type="http://schemas.openxmlformats.org/officeDocument/2006/relationships/hyperlink" Target="https://drive.google.com/file/d/1NIRMmLN3dtC4E8_DRvc5NZ4fwubvxJBJ/view?usp=drivesdk" TargetMode="External"/><Relationship Id="rId21" Type="http://schemas.openxmlformats.org/officeDocument/2006/relationships/hyperlink" Target="https://drive.google.com/file/d/1NIRMmLN3dtC4E8_DRvc5NZ4fwubvxJBJ/view?usp=drivesdk" TargetMode="External"/><Relationship Id="rId24" Type="http://schemas.openxmlformats.org/officeDocument/2006/relationships/hyperlink" Target="https://drive.google.com/file/d/1N0O_pqEXDZZBmG7iMivjpN5p1rNqKbe3/view?usp=drivesdk" TargetMode="External"/><Relationship Id="rId23" Type="http://schemas.openxmlformats.org/officeDocument/2006/relationships/hyperlink" Target="https://drive.google.com/file/d/1N0O_pqEXDZZBmG7iMivjpN5p1rNqKbe3/view?usp=drivesdk" TargetMode="External"/><Relationship Id="rId26" Type="http://schemas.openxmlformats.org/officeDocument/2006/relationships/hyperlink" Target="https://drive.google.com/file/d/1CixE84x-aUDimMI08Ta-IuRpC54sqnT0/view?usp=drivesdk" TargetMode="External"/><Relationship Id="rId25" Type="http://schemas.openxmlformats.org/officeDocument/2006/relationships/hyperlink" Target="https://drive.google.com/file/d/1CixE84x-aUDimMI08Ta-IuRpC54sqnT0/view?usp=drivesdk" TargetMode="External"/><Relationship Id="rId28" Type="http://schemas.openxmlformats.org/officeDocument/2006/relationships/hyperlink" Target="https://drive.google.com/file/d/182xRcmTLNeNRuujyio7PIgOEDcxRqUzI/view?usp=drivesdk" TargetMode="External"/><Relationship Id="rId27" Type="http://schemas.openxmlformats.org/officeDocument/2006/relationships/hyperlink" Target="https://drive.google.com/file/d/182xRcmTLNeNRuujyio7PIgOEDcxRqUzI/view?usp=drivesdk" TargetMode="External"/><Relationship Id="rId29" Type="http://schemas.openxmlformats.org/officeDocument/2006/relationships/hyperlink" Target="https://drive.google.com/file/d/1zzV46-78QF-E0mi6h8W3bFiET7y_ql2g/view?usp=drivesdk" TargetMode="External"/><Relationship Id="rId11" Type="http://schemas.openxmlformats.org/officeDocument/2006/relationships/hyperlink" Target="https://drive.google.com/file/d/1YuFVKDJQjrwPiOGqzwh0Eon4MSX20bL9/view?usp=drivesdk" TargetMode="External"/><Relationship Id="rId10" Type="http://schemas.openxmlformats.org/officeDocument/2006/relationships/hyperlink" Target="https://drive.google.com/file/d/1YkDuIXIcM5acoo29fIjHeTftN5TahjXy/view?usp=drivesdk" TargetMode="External"/><Relationship Id="rId13" Type="http://schemas.openxmlformats.org/officeDocument/2006/relationships/hyperlink" Target="https://drive.google.com/file/d/1H236aHPwU73glOI0xtqJmAc9ESrBBigU/view?usp=drivesdk" TargetMode="External"/><Relationship Id="rId12" Type="http://schemas.openxmlformats.org/officeDocument/2006/relationships/hyperlink" Target="https://drive.google.com/file/d/1JBO0I7jrh2v2j3MF5_dILjp6huQV8NCI/view?usp=drivesdk" TargetMode="External"/><Relationship Id="rId15" Type="http://schemas.openxmlformats.org/officeDocument/2006/relationships/hyperlink" Target="https://drive.google.com/file/d/1eayPG_t0BMCVC0T4V1xZEKK3S7aq3ZtG/view?usp=drivesdk" TargetMode="External"/><Relationship Id="rId198" Type="http://schemas.openxmlformats.org/officeDocument/2006/relationships/hyperlink" Target="https://drive.google.com/file/d/1F-RFjIqGL_S7qB-pHSqcwsUkWgUriRFU/view?usp=drivesdk" TargetMode="External"/><Relationship Id="rId14" Type="http://schemas.openxmlformats.org/officeDocument/2006/relationships/hyperlink" Target="https://drive.google.com/file/d/1KIdmly8Och0jeLK1iHKSzdtfcF-osoOc/view?usp=drivesdk" TargetMode="External"/><Relationship Id="rId197" Type="http://schemas.openxmlformats.org/officeDocument/2006/relationships/hyperlink" Target="https://drive.google.com/file/d/1532nKE_y6WYMPHYq4N69qt3_Cb3cBjpx/view?usp=drivesdk" TargetMode="External"/><Relationship Id="rId17" Type="http://schemas.openxmlformats.org/officeDocument/2006/relationships/hyperlink" Target="https://drive.google.com/file/d/1KvGIp9ZSw_Bo9enL_bAfk8Xm07YKIzxz/view?usp=drivesdk" TargetMode="External"/><Relationship Id="rId196" Type="http://schemas.openxmlformats.org/officeDocument/2006/relationships/hyperlink" Target="https://drive.google.com/file/d/1wT27ek0xzCPNIUD4CG3pSoL-gQO1iQY3/view?usp=drivesdk" TargetMode="External"/><Relationship Id="rId16" Type="http://schemas.openxmlformats.org/officeDocument/2006/relationships/hyperlink" Target="https://drive.google.com/file/d/1hzCdasHNa7otMiXsQAdPisoBp_nZ5acG/view?usp=drivesdk" TargetMode="External"/><Relationship Id="rId195" Type="http://schemas.openxmlformats.org/officeDocument/2006/relationships/hyperlink" Target="https://drive.google.com/file/d/18iEb0Lf4HnzueiGFHy0MELnGPOVFrMhe/view?usp=drivesdk" TargetMode="External"/><Relationship Id="rId19" Type="http://schemas.openxmlformats.org/officeDocument/2006/relationships/hyperlink" Target="https://drive.google.com/file/d/128T67uXLBJ6Ky9AxU4-C6aLpfzk-0RJ9/view?usp=drivesdk" TargetMode="External"/><Relationship Id="rId18" Type="http://schemas.openxmlformats.org/officeDocument/2006/relationships/hyperlink" Target="https://drive.google.com/file/d/1KvGIp9ZSw_Bo9enL_bAfk8Xm07YKIzxz/view?usp=drivesdk" TargetMode="External"/><Relationship Id="rId199" Type="http://schemas.openxmlformats.org/officeDocument/2006/relationships/hyperlink" Target="https://drive.google.com/file/d/1Y1Pb6g802i9y3ztWpk8o6Ul5UXvF0JEr/view?usp=drivesdk" TargetMode="External"/><Relationship Id="rId84" Type="http://schemas.openxmlformats.org/officeDocument/2006/relationships/hyperlink" Target="https://drive.google.com/file/d/1oEKgdDYHY7OE1QhxaTmfgnlDMXHeSzw3/view?usp=drivesdk" TargetMode="External"/><Relationship Id="rId83" Type="http://schemas.openxmlformats.org/officeDocument/2006/relationships/hyperlink" Target="https://drive.google.com/file/d/13jWuAGe6mFA3SBDB4ZReuAGASaly-wts/view?usp=drivesdk" TargetMode="External"/><Relationship Id="rId86" Type="http://schemas.openxmlformats.org/officeDocument/2006/relationships/hyperlink" Target="https://drive.google.com/file/d/1iY-RlU2krCz1myLgZ4rzfD89I-xv0BAZ/view?usp=drivesdk" TargetMode="External"/><Relationship Id="rId85" Type="http://schemas.openxmlformats.org/officeDocument/2006/relationships/hyperlink" Target="https://drive.google.com/file/d/1cnTJN8WLFWsY2DTEYBtfRaN2ZMQbqrf5/view?usp=drivesdk" TargetMode="External"/><Relationship Id="rId88" Type="http://schemas.openxmlformats.org/officeDocument/2006/relationships/hyperlink" Target="https://drive.google.com/file/d/13jWuAGe6mFA3SBDB4ZReuAGASaly-wts/view?usp=drivesdk" TargetMode="External"/><Relationship Id="rId150" Type="http://schemas.openxmlformats.org/officeDocument/2006/relationships/hyperlink" Target="https://drive.google.com/file/d/1S-BKK9WIGRJZP_V6gEYq8JY-0PcFSx9V/view?usp=drivesdk" TargetMode="External"/><Relationship Id="rId271" Type="http://schemas.openxmlformats.org/officeDocument/2006/relationships/hyperlink" Target="https://drive.google.com/file/d/1afaXqErNf5KpMOrAwlJ1-c59-s5cNh1g/view?usp=drivesdk" TargetMode="External"/><Relationship Id="rId87" Type="http://schemas.openxmlformats.org/officeDocument/2006/relationships/hyperlink" Target="https://drive.google.com/file/d/1n9Rzb1ojV0GjOQgqDr_n6eF5iICEZ_Vz/view?usp=drivesdk" TargetMode="External"/><Relationship Id="rId270" Type="http://schemas.openxmlformats.org/officeDocument/2006/relationships/hyperlink" Target="https://drive.google.com/file/d/14Ad4K5sHXy6JoMhmzCJpf0hyzbiuSH9A/view?usp=drivesdk" TargetMode="External"/><Relationship Id="rId89" Type="http://schemas.openxmlformats.org/officeDocument/2006/relationships/hyperlink" Target="https://drive.google.com/file/d/1cnTJN8WLFWsY2DTEYBtfRaN2ZMQbqrf5/view?usp=drivesdk" TargetMode="External"/><Relationship Id="rId80" Type="http://schemas.openxmlformats.org/officeDocument/2006/relationships/hyperlink" Target="https://drive.google.com/file/d/1oEKgdDYHY7OE1QhxaTmfgnlDMXHeSzw3/view?usp=drivesdk" TargetMode="External"/><Relationship Id="rId82" Type="http://schemas.openxmlformats.org/officeDocument/2006/relationships/hyperlink" Target="https://drive.google.com/file/d/1iY-RlU2krCz1myLgZ4rzfD89I-xv0BAZ/view?usp=drivesdk" TargetMode="External"/><Relationship Id="rId81" Type="http://schemas.openxmlformats.org/officeDocument/2006/relationships/hyperlink" Target="https://drive.google.com/file/d/1CV6M6CJbBuRzyJIeqBaew1ClSUemXmaI/view?usp=drivesdk" TargetMode="External"/><Relationship Id="rId1" Type="http://schemas.openxmlformats.org/officeDocument/2006/relationships/hyperlink" Target="https://drive.google.com/file/d/1gP5r4ZmK0CC65l_jcaxt93cPx3SVZq0l/view?usp=drivesdk" TargetMode="External"/><Relationship Id="rId2" Type="http://schemas.openxmlformats.org/officeDocument/2006/relationships/hyperlink" Target="https://drive.google.com/file/d/1NKe8zfUqXz_KdZYyYh4eJGbo5bs6z3nv/view?usp=drivesdk" TargetMode="External"/><Relationship Id="rId3" Type="http://schemas.openxmlformats.org/officeDocument/2006/relationships/hyperlink" Target="https://drive.google.com/file/d/1n2dqAdTCQK-0MF8KE7SaUgvxH9ruzNMS/view?usp=drivesdk" TargetMode="External"/><Relationship Id="rId149" Type="http://schemas.openxmlformats.org/officeDocument/2006/relationships/hyperlink" Target="https://drive.google.com/file/d/1YUIK6S8lWagyXhBwEDX67tTp03fPbs-N/view?usp=drivesdk" TargetMode="External"/><Relationship Id="rId4" Type="http://schemas.openxmlformats.org/officeDocument/2006/relationships/hyperlink" Target="https://drive.google.com/file/d/1m9qVYqa6TlznYKmurcR1PWbx3qTi2-nA/view?usp=drivesdk" TargetMode="External"/><Relationship Id="rId148" Type="http://schemas.openxmlformats.org/officeDocument/2006/relationships/hyperlink" Target="https://drive.google.com/file/d/1FUEmqh0JhS8GyWdSu4EO5Yl1b3ujjJPa/view?usp=drivesdk" TargetMode="External"/><Relationship Id="rId269" Type="http://schemas.openxmlformats.org/officeDocument/2006/relationships/hyperlink" Target="https://drive.google.com/file/d/10I0TPY_9JFtS32aje0CEFagb7ZBJ_Te_/view?usp=drivesdk" TargetMode="External"/><Relationship Id="rId9" Type="http://schemas.openxmlformats.org/officeDocument/2006/relationships/hyperlink" Target="https://drive.google.com/file/d/1KYLvAQLhXiBKfut_8km_MOJOuVFPGdRw/view?usp=drivesdk" TargetMode="External"/><Relationship Id="rId143" Type="http://schemas.openxmlformats.org/officeDocument/2006/relationships/hyperlink" Target="https://drive.google.com/file/d/1OTf8l974NEqFjJYsYo-7tpSC1Svos_k2/view?usp=drivesdk" TargetMode="External"/><Relationship Id="rId264" Type="http://schemas.openxmlformats.org/officeDocument/2006/relationships/hyperlink" Target="https://drive.google.com/file/d/1A4DUdrGZsW4JyphmCXxPef9O5A4YBKgy/view?usp=drivesdk" TargetMode="External"/><Relationship Id="rId142" Type="http://schemas.openxmlformats.org/officeDocument/2006/relationships/hyperlink" Target="https://drive.google.com/file/d/1JXQ2qbz_lDU19YYqnB90lHyTmKJ7CW_c/view?usp=drivesdk" TargetMode="External"/><Relationship Id="rId263" Type="http://schemas.openxmlformats.org/officeDocument/2006/relationships/hyperlink" Target="https://drive.google.com/file/d/1Qu_PE3NJ0DZAN_ux-NMyZnxiruKr6rxr/view?usp=drivesdk" TargetMode="External"/><Relationship Id="rId141" Type="http://schemas.openxmlformats.org/officeDocument/2006/relationships/hyperlink" Target="https://drive.google.com/file/d/1jzYvxOvlSKrGPes9jG0P6Q9_EpGd-5UE/view?usp=drivesdk" TargetMode="External"/><Relationship Id="rId262" Type="http://schemas.openxmlformats.org/officeDocument/2006/relationships/hyperlink" Target="https://drive.google.com/file/d/13MrArUyh69_luSKhGeO_ovZkCq07UvX0/view?usp=drivesdk" TargetMode="External"/><Relationship Id="rId140" Type="http://schemas.openxmlformats.org/officeDocument/2006/relationships/hyperlink" Target="https://drive.google.com/file/d/1DPQXRN9irAvhEFFG3bX1zCxC-ACsWqeY/view?usp=drivesdk" TargetMode="External"/><Relationship Id="rId261" Type="http://schemas.openxmlformats.org/officeDocument/2006/relationships/hyperlink" Target="https://drive.google.com/file/d/19miz0XPoNzH-69ZHI0Kv0Tq9EuaZ-wXi/view?usp=drivesdk" TargetMode="External"/><Relationship Id="rId5" Type="http://schemas.openxmlformats.org/officeDocument/2006/relationships/hyperlink" Target="https://drive.google.com/file/d/1ntSNpubcTcLHfPH89yqa_Qd0lcCnEEW4/view?usp=drivesdk" TargetMode="External"/><Relationship Id="rId147" Type="http://schemas.openxmlformats.org/officeDocument/2006/relationships/hyperlink" Target="https://drive.google.com/file/d/1lGA5TRi4vDBUne1BOZ83RN-P5utLh8bi/view?usp=drivesdk" TargetMode="External"/><Relationship Id="rId268" Type="http://schemas.openxmlformats.org/officeDocument/2006/relationships/hyperlink" Target="https://drive.google.com/file/d/1lWQfx7vnctmu4qbD_ivX0OYgxwmRuSmO/view?usp=drivesdk" TargetMode="External"/><Relationship Id="rId6" Type="http://schemas.openxmlformats.org/officeDocument/2006/relationships/hyperlink" Target="https://drive.google.com/file/d/1up7eHkP8TUTOPQP1PbvQap4cNOxYvlTX/view?usp=drivesdk" TargetMode="External"/><Relationship Id="rId146" Type="http://schemas.openxmlformats.org/officeDocument/2006/relationships/hyperlink" Target="https://drive.google.com/file/d/1Z4t_xyf_MLoXeQQ3g6zt6zcTwsZa-jaj/view?usp=drivesdk" TargetMode="External"/><Relationship Id="rId267" Type="http://schemas.openxmlformats.org/officeDocument/2006/relationships/hyperlink" Target="https://drive.google.com/file/d/181uTApV_PiWY5cj5rQMf-r5DsUe6HF-_/view?usp=drivesdk" TargetMode="External"/><Relationship Id="rId7" Type="http://schemas.openxmlformats.org/officeDocument/2006/relationships/hyperlink" Target="https://drive.google.com/file/d/1-Xd4yfIi6RzjZw8ieSTHNmIsvVxuHzhF/view?usp=drivesdk" TargetMode="External"/><Relationship Id="rId145" Type="http://schemas.openxmlformats.org/officeDocument/2006/relationships/hyperlink" Target="https://drive.google.com/file/d/1UkgSG_cq8LH03ZIRssA2QwS32rQThxl-/view?usp=drivesdk" TargetMode="External"/><Relationship Id="rId266" Type="http://schemas.openxmlformats.org/officeDocument/2006/relationships/hyperlink" Target="https://drive.google.com/file/d/1UZbjB7VLrqJDefnzA9i7Jb5NV9MQ8-Rh/view?usp=drivesdk" TargetMode="External"/><Relationship Id="rId8" Type="http://schemas.openxmlformats.org/officeDocument/2006/relationships/hyperlink" Target="https://drive.google.com/file/d/1Oy_TCnOKirQZ2Nw56qwMUsPfJRTA58dr/view?usp=drivesdk" TargetMode="External"/><Relationship Id="rId144" Type="http://schemas.openxmlformats.org/officeDocument/2006/relationships/hyperlink" Target="https://drive.google.com/file/d/1OXYX9277ahrnw2E5c1FiXgQkZ5G0lUdV/view?usp=drivesdk" TargetMode="External"/><Relationship Id="rId265" Type="http://schemas.openxmlformats.org/officeDocument/2006/relationships/hyperlink" Target="https://drive.google.com/file/d/1ChsMFqIrws-XlaSAMzML9xhG1TvPrf5Y/view?usp=drivesdk" TargetMode="External"/><Relationship Id="rId73" Type="http://schemas.openxmlformats.org/officeDocument/2006/relationships/hyperlink" Target="https://drive.google.com/file/d/17E7KlAzQbIDhttURf0PbqWGzfmEn-Srv/view?usp=drivesdk" TargetMode="External"/><Relationship Id="rId72" Type="http://schemas.openxmlformats.org/officeDocument/2006/relationships/hyperlink" Target="https://drive.google.com/file/d/1IjTvJhuCmh5zE--Yno9nRYWsNsiZLplM/view?usp=drivesdk" TargetMode="External"/><Relationship Id="rId75" Type="http://schemas.openxmlformats.org/officeDocument/2006/relationships/hyperlink" Target="https://drive.google.com/file/d/1IjTvJhuCmh5zE--Yno9nRYWsNsiZLplM/view?usp=drivesdk" TargetMode="External"/><Relationship Id="rId74" Type="http://schemas.openxmlformats.org/officeDocument/2006/relationships/hyperlink" Target="https://drive.google.com/file/d/1LEgWHww-g27JLzNb96QMcIcx3wV2WKIY/view?usp=drivesdk" TargetMode="External"/><Relationship Id="rId77" Type="http://schemas.openxmlformats.org/officeDocument/2006/relationships/hyperlink" Target="https://drive.google.com/file/d/1LEgWHww-g27JLzNb96QMcIcx3wV2WKIY/view?usp=drivesdk" TargetMode="External"/><Relationship Id="rId260" Type="http://schemas.openxmlformats.org/officeDocument/2006/relationships/hyperlink" Target="https://drive.google.com/file/d/1jGSfLbZBNOGQTLbYlcsjUxqjemJpzFGO/view?usp=drivesdk" TargetMode="External"/><Relationship Id="rId76" Type="http://schemas.openxmlformats.org/officeDocument/2006/relationships/hyperlink" Target="https://drive.google.com/file/d/1eAGRbH_TcxuvnafgNeuSjY963B9uep4H/view?usp=drivesdk" TargetMode="External"/><Relationship Id="rId79" Type="http://schemas.openxmlformats.org/officeDocument/2006/relationships/hyperlink" Target="https://drive.google.com/file/d/1eAGRbH_TcxuvnafgNeuSjY963B9uep4H/view?usp=drivesdk" TargetMode="External"/><Relationship Id="rId78" Type="http://schemas.openxmlformats.org/officeDocument/2006/relationships/hyperlink" Target="https://drive.google.com/file/d/1CV6M6CJbBuRzyJIeqBaew1ClSUemXmaI/view?usp=drivesdk" TargetMode="External"/><Relationship Id="rId71" Type="http://schemas.openxmlformats.org/officeDocument/2006/relationships/hyperlink" Target="https://drive.google.com/file/d/17E7KlAzQbIDhttURf0PbqWGzfmEn-Srv/view?usp=drivesdk" TargetMode="External"/><Relationship Id="rId70" Type="http://schemas.openxmlformats.org/officeDocument/2006/relationships/hyperlink" Target="https://drive.google.com/file/d/17LOVi6C5DEkEzEJzi6erZuFGU1CHri4S/view?usp=drivesdk" TargetMode="External"/><Relationship Id="rId139" Type="http://schemas.openxmlformats.org/officeDocument/2006/relationships/hyperlink" Target="https://drive.google.com/file/d/1twLO3NgC9lwPBI_r7SKvokayYj4KvhFP/view?usp=drivesdk" TargetMode="External"/><Relationship Id="rId138" Type="http://schemas.openxmlformats.org/officeDocument/2006/relationships/hyperlink" Target="https://drive.google.com/file/d/12Nxc2ATkfX_jGhot7mMfq1s_P_RsIXZi/view?usp=drivesdk" TargetMode="External"/><Relationship Id="rId259" Type="http://schemas.openxmlformats.org/officeDocument/2006/relationships/hyperlink" Target="https://drive.google.com/file/d/1_Vt_KWKCPbnqbx_4H-rPx_7LAKvOh7xM/view?usp=drivesdk" TargetMode="External"/><Relationship Id="rId137" Type="http://schemas.openxmlformats.org/officeDocument/2006/relationships/hyperlink" Target="https://drive.google.com/file/d/1Nw4VfeC_SoFn_WUEI6odkhFe8CuELilT/view?usp=drivesdk" TargetMode="External"/><Relationship Id="rId258" Type="http://schemas.openxmlformats.org/officeDocument/2006/relationships/hyperlink" Target="https://drive.google.com/file/d/1iQCd19hnQhb5w7iwb_l1To-pdigjtvjM/view?usp=drivesdk" TargetMode="External"/><Relationship Id="rId132" Type="http://schemas.openxmlformats.org/officeDocument/2006/relationships/hyperlink" Target="https://drive.google.com/file/d/1Rz6-pSeOGnV7TiMxqBWDZRA17NYL_75A/view?usp=drivesdk" TargetMode="External"/><Relationship Id="rId253" Type="http://schemas.openxmlformats.org/officeDocument/2006/relationships/hyperlink" Target="https://drive.google.com/file/d/1IVeO7R8B028x9wy1Z73ayo_Wm-Vy5Bsc/view?usp=drivesdk" TargetMode="External"/><Relationship Id="rId131" Type="http://schemas.openxmlformats.org/officeDocument/2006/relationships/hyperlink" Target="https://drive.google.com/file/d/1ERKFM4sicFmRozuJVA3oC8e4GX-VIoOW/view?usp=drivesdk" TargetMode="External"/><Relationship Id="rId252" Type="http://schemas.openxmlformats.org/officeDocument/2006/relationships/hyperlink" Target="https://drive.google.com/file/d/1FCAdfMe7J_cm9Xf-Pa5YpD6jKrhGFMav/view?usp=drivesdk" TargetMode="External"/><Relationship Id="rId130" Type="http://schemas.openxmlformats.org/officeDocument/2006/relationships/hyperlink" Target="https://drive.google.com/file/d/1J4LabQDh4jkv6aYtt9sZdfkHUF76BZ_Q/view?usp=drivesdk" TargetMode="External"/><Relationship Id="rId251" Type="http://schemas.openxmlformats.org/officeDocument/2006/relationships/hyperlink" Target="https://drive.google.com/file/d/1O0CTJldiCYP2wsD_WJZM2u_ZpEpuJ9Hs/view?usp=drivesdk" TargetMode="External"/><Relationship Id="rId250" Type="http://schemas.openxmlformats.org/officeDocument/2006/relationships/hyperlink" Target="https://drive.google.com/file/d/18b3JQNT5Yl1h_DoHzcct4I458QDpajX5/view?usp=drivesdk" TargetMode="External"/><Relationship Id="rId136" Type="http://schemas.openxmlformats.org/officeDocument/2006/relationships/hyperlink" Target="https://drive.google.com/file/d/170EjG2NftGaEjpXN9w9auFfIklq9rQgV/view?usp=drivesdk" TargetMode="External"/><Relationship Id="rId257" Type="http://schemas.openxmlformats.org/officeDocument/2006/relationships/hyperlink" Target="https://drive.google.com/file/d/1q2Y0bNwGNF2r3aSF-0b1tZ0uvM316xlB/view?usp=drivesdk" TargetMode="External"/><Relationship Id="rId135" Type="http://schemas.openxmlformats.org/officeDocument/2006/relationships/hyperlink" Target="https://drive.google.com/file/d/1EATnjNk9cDBmXF3_VSX_KEFAHwAcWB0q/view?usp=drivesdk" TargetMode="External"/><Relationship Id="rId256" Type="http://schemas.openxmlformats.org/officeDocument/2006/relationships/hyperlink" Target="https://drive.google.com/file/d/1Bf6vqFVak8zjA-9-zzq5rTThPQnn2RDp/view?usp=drivesdk" TargetMode="External"/><Relationship Id="rId134" Type="http://schemas.openxmlformats.org/officeDocument/2006/relationships/hyperlink" Target="https://drive.google.com/file/d/1kvveCpiJ0HrbqgRrn_DfZc-Z07XJUTsg/view?usp=drivesdk" TargetMode="External"/><Relationship Id="rId255" Type="http://schemas.openxmlformats.org/officeDocument/2006/relationships/hyperlink" Target="https://drive.google.com/file/d/1C8CJ3-r23QhHHO2diRSjVLmalFIrKIuH/view?usp=drivesdk" TargetMode="External"/><Relationship Id="rId133" Type="http://schemas.openxmlformats.org/officeDocument/2006/relationships/hyperlink" Target="https://drive.google.com/file/d/1BTe8ghIIZfjVlzg0TSLeDpt4oBO5BYI6/view?usp=drivesdk" TargetMode="External"/><Relationship Id="rId254" Type="http://schemas.openxmlformats.org/officeDocument/2006/relationships/hyperlink" Target="https://drive.google.com/file/d/1LSo_5ay-HjLoUUc9arcXdKOrQZ-erl8j/view?usp=drivesdk" TargetMode="External"/><Relationship Id="rId62" Type="http://schemas.openxmlformats.org/officeDocument/2006/relationships/hyperlink" Target="https://drive.google.com/file/d/1vHJK-mD33qALssINllK6TzK9wCKkauzw/view?usp=drivesdk" TargetMode="External"/><Relationship Id="rId61" Type="http://schemas.openxmlformats.org/officeDocument/2006/relationships/hyperlink" Target="https://drive.google.com/file/d/1GJwT-3EMgC73luEGy5eN3b5fQpMPK7Zl/view?usp=drivesdk" TargetMode="External"/><Relationship Id="rId64" Type="http://schemas.openxmlformats.org/officeDocument/2006/relationships/hyperlink" Target="https://drive.google.com/file/d/1bBQeVp8pqdJeeHmSfDoSnAawM7ChnYj3/view?usp=drivesdk" TargetMode="External"/><Relationship Id="rId63" Type="http://schemas.openxmlformats.org/officeDocument/2006/relationships/hyperlink" Target="https://drive.google.com/file/d/1rCZ7iSNgSMeVDAxAu-lghpuKYtJ8xP8B/view?usp=drivesdk" TargetMode="External"/><Relationship Id="rId66" Type="http://schemas.openxmlformats.org/officeDocument/2006/relationships/hyperlink" Target="https://drive.google.com/file/d/1xNqD1VxtA7xo3NVWeq5Hjuna3C6f27dH/view?usp=drivesdk" TargetMode="External"/><Relationship Id="rId172" Type="http://schemas.openxmlformats.org/officeDocument/2006/relationships/hyperlink" Target="https://drive.google.com/file/d/16PFOuL3WEstvd6bBY3HlWG0QLwKxQHp9/view?usp=drivesdk" TargetMode="External"/><Relationship Id="rId293" Type="http://schemas.openxmlformats.org/officeDocument/2006/relationships/hyperlink" Target="https://drive.google.com/file/d/1FRUfh1U3useglBKlb4A9a2z28hnLsGtN/view?usp=drivesdk" TargetMode="External"/><Relationship Id="rId65" Type="http://schemas.openxmlformats.org/officeDocument/2006/relationships/hyperlink" Target="https://drive.google.com/file/d/1vHJK-mD33qALssINllK6TzK9wCKkauzw/view?usp=drivesdk" TargetMode="External"/><Relationship Id="rId171" Type="http://schemas.openxmlformats.org/officeDocument/2006/relationships/hyperlink" Target="https://drive.google.com/file/d/15i9eUmMBsm_VeVampIp_kgEzEYIoF_US/view?usp=drivesdk" TargetMode="External"/><Relationship Id="rId292" Type="http://schemas.openxmlformats.org/officeDocument/2006/relationships/hyperlink" Target="https://drive.google.com/file/d/1764vEb9echo4_JuKBrfD9GW4R6uWux6K/view?usp=drivesdk" TargetMode="External"/><Relationship Id="rId68" Type="http://schemas.openxmlformats.org/officeDocument/2006/relationships/hyperlink" Target="https://drive.google.com/file/d/17LOVi6C5DEkEzEJzi6erZuFGU1CHri4S/view?usp=drivesdk" TargetMode="External"/><Relationship Id="rId170" Type="http://schemas.openxmlformats.org/officeDocument/2006/relationships/hyperlink" Target="https://drive.google.com/file/d/1FmzcLpjPkR5CAkJEv9J5eYjpoEL3fXBH/view?usp=drivesdk" TargetMode="External"/><Relationship Id="rId291" Type="http://schemas.openxmlformats.org/officeDocument/2006/relationships/hyperlink" Target="https://drive.google.com/file/d/1vsOifPDnHJCbPbaEQVtfutabQ0aBtIl1/view?usp=drivesdk" TargetMode="External"/><Relationship Id="rId67" Type="http://schemas.openxmlformats.org/officeDocument/2006/relationships/hyperlink" Target="https://drive.google.com/file/d/1bBQeVp8pqdJeeHmSfDoSnAawM7ChnYj3/view?usp=drivesdk" TargetMode="External"/><Relationship Id="rId290" Type="http://schemas.openxmlformats.org/officeDocument/2006/relationships/hyperlink" Target="https://drive.google.com/file/d/14bgSWMj5G7G8T7fdQAmlp7rtwyOp7tFG/view?usp=drivesdk" TargetMode="External"/><Relationship Id="rId60" Type="http://schemas.openxmlformats.org/officeDocument/2006/relationships/hyperlink" Target="https://drive.google.com/file/d/1rCZ7iSNgSMeVDAxAu-lghpuKYtJ8xP8B/view?usp=drivesdk" TargetMode="External"/><Relationship Id="rId165" Type="http://schemas.openxmlformats.org/officeDocument/2006/relationships/hyperlink" Target="https://drive.google.com/file/d/1icCDPLiYCvHXiJeUN3ZGTgqCI5TpFOem/view?usp=drivesdk" TargetMode="External"/><Relationship Id="rId286" Type="http://schemas.openxmlformats.org/officeDocument/2006/relationships/hyperlink" Target="https://drive.google.com/file/d/1d3sfgfcVFh20PX6Hq1oA94I0egB7HCjN/view?usp=drivesdk" TargetMode="External"/><Relationship Id="rId69" Type="http://schemas.openxmlformats.org/officeDocument/2006/relationships/hyperlink" Target="https://drive.google.com/file/d/1xNqD1VxtA7xo3NVWeq5Hjuna3C6f27dH/view?usp=drivesdk" TargetMode="External"/><Relationship Id="rId164" Type="http://schemas.openxmlformats.org/officeDocument/2006/relationships/hyperlink" Target="https://drive.google.com/file/d/1NklRK7y5Eh4tcPuUJK86gCwQeWDFT2m7/view?usp=drivesdk" TargetMode="External"/><Relationship Id="rId285" Type="http://schemas.openxmlformats.org/officeDocument/2006/relationships/hyperlink" Target="https://drive.google.com/file/d/1meOlWkNmqhugFZ-MR2F63xXN-XFCOtBd/view?usp=drivesdk" TargetMode="External"/><Relationship Id="rId163" Type="http://schemas.openxmlformats.org/officeDocument/2006/relationships/hyperlink" Target="https://drive.google.com/file/d/1qzjOoczLORHf7w8w63RasdgH9itJTpCm/view?usp=drivesdk" TargetMode="External"/><Relationship Id="rId284" Type="http://schemas.openxmlformats.org/officeDocument/2006/relationships/hyperlink" Target="https://drive.google.com/file/d/1Ma5bseWZfN1BF4TLZqOGiCQ5pMeOUHDl/view?usp=drivesdk" TargetMode="External"/><Relationship Id="rId162" Type="http://schemas.openxmlformats.org/officeDocument/2006/relationships/hyperlink" Target="https://drive.google.com/file/d/1diCDyFodn_sBkMT3R-uJJrneoEn5HiwE/view?usp=drivesdk" TargetMode="External"/><Relationship Id="rId283" Type="http://schemas.openxmlformats.org/officeDocument/2006/relationships/hyperlink" Target="https://drive.google.com/file/d/1Rh_en7rKQtbaO1cUAciySFXCt3P64VKF/view?usp=drivesdk" TargetMode="External"/><Relationship Id="rId169" Type="http://schemas.openxmlformats.org/officeDocument/2006/relationships/hyperlink" Target="https://drive.google.com/file/d/1uo8pXCuvsUQCBd-BPpYApfE6QlkW3t1h/view?usp=drivesdk" TargetMode="External"/><Relationship Id="rId168" Type="http://schemas.openxmlformats.org/officeDocument/2006/relationships/hyperlink" Target="https://drive.google.com/file/d/1ORfLMztsC6ByLhrK6wrDNoM0swwfesk0/view?usp=drivesdk" TargetMode="External"/><Relationship Id="rId289" Type="http://schemas.openxmlformats.org/officeDocument/2006/relationships/hyperlink" Target="https://drive.google.com/file/d/1kLXm8J9L3mdgLfYfyAnPpz4Wq1IrAbws/view?usp=drivesdk" TargetMode="External"/><Relationship Id="rId167" Type="http://schemas.openxmlformats.org/officeDocument/2006/relationships/hyperlink" Target="https://drive.google.com/file/d/1jFpHC2PoPGWLCAvjRys0JBO-l9Z5TG-Y/view?usp=drivesdk" TargetMode="External"/><Relationship Id="rId288" Type="http://schemas.openxmlformats.org/officeDocument/2006/relationships/hyperlink" Target="https://drive.google.com/file/d/1Gl9l7OTdxMWjQFcQg9j8T1-Hzj7faM7-/view?usp=drivesdk" TargetMode="External"/><Relationship Id="rId166" Type="http://schemas.openxmlformats.org/officeDocument/2006/relationships/hyperlink" Target="https://drive.google.com/file/d/11yMTXkFBHXDoIHYuPhApiiQK7JEh9EMv/view?usp=drivesdk" TargetMode="External"/><Relationship Id="rId287" Type="http://schemas.openxmlformats.org/officeDocument/2006/relationships/hyperlink" Target="https://drive.google.com/file/d/1i4rvvTqpui2KB1XrByawGWCByaHCWUZG/view?usp=drivesdk" TargetMode="External"/><Relationship Id="rId51" Type="http://schemas.openxmlformats.org/officeDocument/2006/relationships/hyperlink" Target="https://drive.google.com/file/d/1CAygu4CyNNSpoX594_Gc5FE5bPdENZUn/view?usp=drivesdk" TargetMode="External"/><Relationship Id="rId50" Type="http://schemas.openxmlformats.org/officeDocument/2006/relationships/hyperlink" Target="https://drive.google.com/file/d/1EC8pODDaHY_FJI8ZpQEAMppYdoFsg8Xh/view?usp=drivesdk" TargetMode="External"/><Relationship Id="rId53" Type="http://schemas.openxmlformats.org/officeDocument/2006/relationships/hyperlink" Target="https://drive.google.com/file/d/1EC8pODDaHY_FJI8ZpQEAMppYdoFsg8Xh/view?usp=drivesdk" TargetMode="External"/><Relationship Id="rId52" Type="http://schemas.openxmlformats.org/officeDocument/2006/relationships/hyperlink" Target="https://drive.google.com/file/d/1lDSReLPhBizgR66b0j9BVLNItUPpI4l6/view?usp=drivesdk" TargetMode="External"/><Relationship Id="rId55" Type="http://schemas.openxmlformats.org/officeDocument/2006/relationships/hyperlink" Target="https://drive.google.com/file/d/1lDSReLPhBizgR66b0j9BVLNItUPpI4l6/view?usp=drivesdk" TargetMode="External"/><Relationship Id="rId161" Type="http://schemas.openxmlformats.org/officeDocument/2006/relationships/hyperlink" Target="https://drive.google.com/file/d/1o-eiXXmDICErw8em8NyklSL73jugbu3N/view?usp=drivesdk" TargetMode="External"/><Relationship Id="rId282" Type="http://schemas.openxmlformats.org/officeDocument/2006/relationships/hyperlink" Target="https://drive.google.com/file/d/1NMrm-wWDNZoqW5rEEroPlaRWHAXwQNvo/view?usp=drivesdk" TargetMode="External"/><Relationship Id="rId54" Type="http://schemas.openxmlformats.org/officeDocument/2006/relationships/hyperlink" Target="https://drive.google.com/file/d/193qMS2r8rBRUYoF-HizlYToeFa6-bQ_e/view?usp=drivesdk" TargetMode="External"/><Relationship Id="rId160" Type="http://schemas.openxmlformats.org/officeDocument/2006/relationships/hyperlink" Target="https://drive.google.com/file/d/1xxpo3jl9QLB2Ovtlz37tD06_PPlQjnnd/view?usp=drivesdk" TargetMode="External"/><Relationship Id="rId281" Type="http://schemas.openxmlformats.org/officeDocument/2006/relationships/hyperlink" Target="https://drive.google.com/file/d/1J5dHSp9TH71p4QmUK6itKNvDbQv38mUX/view?usp=drivesdk" TargetMode="External"/><Relationship Id="rId57" Type="http://schemas.openxmlformats.org/officeDocument/2006/relationships/hyperlink" Target="https://drive.google.com/file/d/193qMS2r8rBRUYoF-HizlYToeFa6-bQ_e/view?usp=drivesdk" TargetMode="External"/><Relationship Id="rId280" Type="http://schemas.openxmlformats.org/officeDocument/2006/relationships/hyperlink" Target="https://drive.google.com/file/d/1CQH7EqSniUtIBWzPqcWqpkL2WoBA9FDA/view?usp=drivesdk" TargetMode="External"/><Relationship Id="rId56" Type="http://schemas.openxmlformats.org/officeDocument/2006/relationships/hyperlink" Target="https://drive.google.com/file/d/1QECm8Zs_LnS8eEj-c47up-wnRYbRwMim/view?usp=drivesdk" TargetMode="External"/><Relationship Id="rId159" Type="http://schemas.openxmlformats.org/officeDocument/2006/relationships/hyperlink" Target="https://drive.google.com/file/d/1-s93MXTDm2aFLjRLIUHKVqoGovzLzKl5/view?usp=drivesdk" TargetMode="External"/><Relationship Id="rId59" Type="http://schemas.openxmlformats.org/officeDocument/2006/relationships/hyperlink" Target="https://drive.google.com/file/d/1QECm8Zs_LnS8eEj-c47up-wnRYbRwMim/view?usp=drivesdk" TargetMode="External"/><Relationship Id="rId154" Type="http://schemas.openxmlformats.org/officeDocument/2006/relationships/hyperlink" Target="https://drive.google.com/file/d/1WQkugrspDOXZQxzPWIIjB2_M0BZ_t9Np/view?usp=drivesdk" TargetMode="External"/><Relationship Id="rId275" Type="http://schemas.openxmlformats.org/officeDocument/2006/relationships/hyperlink" Target="https://drive.google.com/file/d/1tZ3AIsdBqzpB083DbI8mSv4HS7a1chYO/view?usp=drivesdk" TargetMode="External"/><Relationship Id="rId58" Type="http://schemas.openxmlformats.org/officeDocument/2006/relationships/hyperlink" Target="https://drive.google.com/file/d/1GJwT-3EMgC73luEGy5eN3b5fQpMPK7Zl/view?usp=drivesdk" TargetMode="External"/><Relationship Id="rId153" Type="http://schemas.openxmlformats.org/officeDocument/2006/relationships/hyperlink" Target="https://drive.google.com/file/d/1IK_h22qFIqdNw6XWynqOL4bjlK22whRC/view?usp=drivesdk" TargetMode="External"/><Relationship Id="rId274" Type="http://schemas.openxmlformats.org/officeDocument/2006/relationships/hyperlink" Target="https://drive.google.com/file/d/1dydA0tLiV01OQkLUqA05G2ugZfI0byZJ/view?usp=drivesdk" TargetMode="External"/><Relationship Id="rId152" Type="http://schemas.openxmlformats.org/officeDocument/2006/relationships/hyperlink" Target="https://drive.google.com/file/d/1l6u4762Tfe1bPYMZRubPwov6xR9A3Sr3/view?usp=drivesdk" TargetMode="External"/><Relationship Id="rId273" Type="http://schemas.openxmlformats.org/officeDocument/2006/relationships/hyperlink" Target="https://drive.google.com/file/d/1BoBbg1d_OE5lpxyDLRe7KoJvqyBflHN2/view?usp=drivesdk" TargetMode="External"/><Relationship Id="rId151" Type="http://schemas.openxmlformats.org/officeDocument/2006/relationships/hyperlink" Target="https://drive.google.com/file/d/15thRS5kSUqRZq81KYeOg35K5mJfLi11y/view?usp=drivesdk" TargetMode="External"/><Relationship Id="rId272" Type="http://schemas.openxmlformats.org/officeDocument/2006/relationships/hyperlink" Target="https://drive.google.com/file/d/1upEL445dg4dVzblyfYr7c7vNJn_V0RF4/view?usp=drivesdk" TargetMode="External"/><Relationship Id="rId158" Type="http://schemas.openxmlformats.org/officeDocument/2006/relationships/hyperlink" Target="https://drive.google.com/file/d/1xIWIYBdULczllp3UUnoG0Yc4_KGG6YsM/view?usp=drivesdk" TargetMode="External"/><Relationship Id="rId279" Type="http://schemas.openxmlformats.org/officeDocument/2006/relationships/hyperlink" Target="https://drive.google.com/file/d/1Qrz4n97or6QU6R9Ox1grBX0pQUh7mgrS/view?usp=drivesdk" TargetMode="External"/><Relationship Id="rId157" Type="http://schemas.openxmlformats.org/officeDocument/2006/relationships/hyperlink" Target="https://drive.google.com/file/d/1bvcZkQdAPoCovSo6nU-QE79zwH7RuhAE/view?usp=drivesdk" TargetMode="External"/><Relationship Id="rId278" Type="http://schemas.openxmlformats.org/officeDocument/2006/relationships/hyperlink" Target="https://drive.google.com/file/d/1Xt0Vn_BzLAtbhb39mISx2NM_U03wfpbp/view?usp=drivesdk" TargetMode="External"/><Relationship Id="rId156" Type="http://schemas.openxmlformats.org/officeDocument/2006/relationships/hyperlink" Target="https://drive.google.com/file/d/1JSXyIAbqghnBGZzco4pDTowgdGOmmTqs/view?usp=drivesdk" TargetMode="External"/><Relationship Id="rId277" Type="http://schemas.openxmlformats.org/officeDocument/2006/relationships/hyperlink" Target="https://drive.google.com/file/d/1omAZt71hpIwE6AwovId_Jm2-cLToaTjE/view?usp=drivesdk" TargetMode="External"/><Relationship Id="rId155" Type="http://schemas.openxmlformats.org/officeDocument/2006/relationships/hyperlink" Target="https://drive.google.com/file/d/1a8Gvf3FnZXv3n1oGEvgT2dwo3ytvuNpR/view?usp=drivesdk" TargetMode="External"/><Relationship Id="rId276" Type="http://schemas.openxmlformats.org/officeDocument/2006/relationships/hyperlink" Target="https://drive.google.com/file/d/1c-Odz42DFfISjLVoJlz49Vws9GI1ZqiK/view?usp=drivesdk" TargetMode="External"/><Relationship Id="rId107" Type="http://schemas.openxmlformats.org/officeDocument/2006/relationships/hyperlink" Target="https://drive.google.com/file/d/1ogZR3zO5eTTq9hLja0PVesN2uqmQVYPt/view?usp=drivesdk" TargetMode="External"/><Relationship Id="rId228" Type="http://schemas.openxmlformats.org/officeDocument/2006/relationships/hyperlink" Target="https://drive.google.com/file/d/1WEoCR32x8WdxfZrE6ne4YRXxkc6Mc_as/view?usp=drivesdk" TargetMode="External"/><Relationship Id="rId106" Type="http://schemas.openxmlformats.org/officeDocument/2006/relationships/hyperlink" Target="https://drive.google.com/file/d/1N15Owmnh9NMrAegYk6WRklqLpLbpWR4-/view?usp=drivesdk" TargetMode="External"/><Relationship Id="rId227" Type="http://schemas.openxmlformats.org/officeDocument/2006/relationships/hyperlink" Target="https://drive.google.com/file/d/1h8ARSVT8aHGCO3IWCcJLBjDhNiOZJ6oU/view?usp=drivesdk" TargetMode="External"/><Relationship Id="rId105" Type="http://schemas.openxmlformats.org/officeDocument/2006/relationships/hyperlink" Target="https://drive.google.com/file/d/1Vmw32K6fWNeemykixmAxNnlhs9AQDp1F/view?usp=drivesdk" TargetMode="External"/><Relationship Id="rId226" Type="http://schemas.openxmlformats.org/officeDocument/2006/relationships/hyperlink" Target="https://drive.google.com/file/d/1IHQVmtar7Kyc5HalMA-IMnI8uCfjZbfV/view?usp=drivesdk" TargetMode="External"/><Relationship Id="rId104" Type="http://schemas.openxmlformats.org/officeDocument/2006/relationships/hyperlink" Target="https://drive.google.com/file/d/1IRsc8ducOBpztP9Nkhk_bzCnrgIT8Jkl/view?usp=drivesdk" TargetMode="External"/><Relationship Id="rId225" Type="http://schemas.openxmlformats.org/officeDocument/2006/relationships/hyperlink" Target="https://drive.google.com/file/d/1xGcasUmnJFGwGFjpnEc5VrLH5WYngvH-/view?usp=drivesdk" TargetMode="External"/><Relationship Id="rId109" Type="http://schemas.openxmlformats.org/officeDocument/2006/relationships/hyperlink" Target="https://drive.google.com/file/d/17C5OFyJ4Irz8FKiZqwhhPOcra5eo3WlT/view?usp=drivesdk" TargetMode="External"/><Relationship Id="rId108" Type="http://schemas.openxmlformats.org/officeDocument/2006/relationships/hyperlink" Target="https://drive.google.com/file/d/1xvDQKP7bx3d0E6nvDliwtY1G3p-wDgoF/view?usp=drivesdk" TargetMode="External"/><Relationship Id="rId229" Type="http://schemas.openxmlformats.org/officeDocument/2006/relationships/hyperlink" Target="https://drive.google.com/file/d/1Cg48Nho68-5Weiw7VG0FOrTkRCGAO9xe/view?usp=drivesdk" TargetMode="External"/><Relationship Id="rId220" Type="http://schemas.openxmlformats.org/officeDocument/2006/relationships/hyperlink" Target="https://drive.google.com/file/d/11WbrF6s73UJdKgS7joSeINxGQoHtUBMX/view?usp=drivesdk" TargetMode="External"/><Relationship Id="rId103" Type="http://schemas.openxmlformats.org/officeDocument/2006/relationships/hyperlink" Target="https://drive.google.com/file/d/1WbTpVBsDvxXy44LZXaNhxBm29hR9zzvs/view?usp=drivesdk" TargetMode="External"/><Relationship Id="rId224" Type="http://schemas.openxmlformats.org/officeDocument/2006/relationships/hyperlink" Target="https://drive.google.com/file/d/1xiF9cLDF9dR1hIWvyF9DJqLJbQVMPh-C/view?usp=drivesdk" TargetMode="External"/><Relationship Id="rId102" Type="http://schemas.openxmlformats.org/officeDocument/2006/relationships/hyperlink" Target="https://drive.google.com/file/d/1IRsc8ducOBpztP9Nkhk_bzCnrgIT8Jkl/view?usp=drivesdk" TargetMode="External"/><Relationship Id="rId223" Type="http://schemas.openxmlformats.org/officeDocument/2006/relationships/hyperlink" Target="https://drive.google.com/file/d/1MWUojd74trhPj08BYoYZpMS_g88B8oPK/view?usp=drivesdk" TargetMode="External"/><Relationship Id="rId101" Type="http://schemas.openxmlformats.org/officeDocument/2006/relationships/hyperlink" Target="https://drive.google.com/file/d/1X8nHWSx_Szn5zpk3JUGHqsz-md-3_lDU/view?usp=drivesdk" TargetMode="External"/><Relationship Id="rId222" Type="http://schemas.openxmlformats.org/officeDocument/2006/relationships/hyperlink" Target="https://drive.google.com/file/d/1PzbnsCUeWB3MOIA-axhwIdkVlQwr1wjU/view?usp=drivesdk" TargetMode="External"/><Relationship Id="rId100" Type="http://schemas.openxmlformats.org/officeDocument/2006/relationships/hyperlink" Target="https://drive.google.com/file/d/1WbTpVBsDvxXy44LZXaNhxBm29hR9zzvs/view?usp=drivesdk" TargetMode="External"/><Relationship Id="rId221" Type="http://schemas.openxmlformats.org/officeDocument/2006/relationships/hyperlink" Target="https://drive.google.com/file/d/1LamcrAv99mxtE-ryVCK4zj8-mfhTuPxn/view?usp=drivesdk" TargetMode="External"/><Relationship Id="rId217" Type="http://schemas.openxmlformats.org/officeDocument/2006/relationships/hyperlink" Target="https://drive.google.com/file/d/1JmXn2y_n4NpOf5EBbukgF-2yhaoBbzz0/view?usp=drivesdk" TargetMode="External"/><Relationship Id="rId216" Type="http://schemas.openxmlformats.org/officeDocument/2006/relationships/hyperlink" Target="https://drive.google.com/file/d/188wZIhJH0RQPIKU87sWGSGAZc6lppJTK/view?usp=drivesdk" TargetMode="External"/><Relationship Id="rId215" Type="http://schemas.openxmlformats.org/officeDocument/2006/relationships/hyperlink" Target="https://drive.google.com/file/d/1Q0baljMrFsFKZPiWW4enLoFOxcJLXyxb/view?usp=drivesdk" TargetMode="External"/><Relationship Id="rId214" Type="http://schemas.openxmlformats.org/officeDocument/2006/relationships/hyperlink" Target="https://drive.google.com/file/d/1uPgGcGAlaRWkJE4JaPtI--uucXa-8el6/view?usp=drivesdk" TargetMode="External"/><Relationship Id="rId219" Type="http://schemas.openxmlformats.org/officeDocument/2006/relationships/hyperlink" Target="https://drive.google.com/file/d/18gdxNqwd9_L83jaZqNcUUIJct4mHv8dL/view?usp=drivesdk" TargetMode="External"/><Relationship Id="rId218" Type="http://schemas.openxmlformats.org/officeDocument/2006/relationships/hyperlink" Target="https://drive.google.com/file/d/1XR3VZIJuAxEcbRtjbV8rR8Bw628aVCCL/view?usp=drivesdk" TargetMode="External"/><Relationship Id="rId213" Type="http://schemas.openxmlformats.org/officeDocument/2006/relationships/hyperlink" Target="https://drive.google.com/file/d/1A2cXqtsQ4CbcyuKgPxPD961tmxF4L-X_/view?usp=drivesdk" TargetMode="External"/><Relationship Id="rId212" Type="http://schemas.openxmlformats.org/officeDocument/2006/relationships/hyperlink" Target="https://drive.google.com/file/d/1HfaHKmJzfwXQAzQizJOSGaMUWIM11aEW/view?usp=drivesdk" TargetMode="External"/><Relationship Id="rId211" Type="http://schemas.openxmlformats.org/officeDocument/2006/relationships/hyperlink" Target="https://drive.google.com/file/d/1ZqLL2SoR_6TwLLPq_deXmgOof4pPkABV/view?usp=drivesdk" TargetMode="External"/><Relationship Id="rId210" Type="http://schemas.openxmlformats.org/officeDocument/2006/relationships/hyperlink" Target="https://drive.google.com/file/d/1fWPjPVEaXo68PyyfJsoX_HMJj_rt9t3h/view?usp=drivesdk" TargetMode="External"/><Relationship Id="rId129" Type="http://schemas.openxmlformats.org/officeDocument/2006/relationships/hyperlink" Target="https://drive.google.com/file/d/1lBxr95ErHZgNYZK5BHcVOASXgWdUjtzB/view?usp=drivesdk" TargetMode="External"/><Relationship Id="rId128" Type="http://schemas.openxmlformats.org/officeDocument/2006/relationships/hyperlink" Target="https://drive.google.com/file/d/1vIvkoZXdSGmerMpWvU6IOOJ21pAeM4Oi/view?usp=drivesdk" TargetMode="External"/><Relationship Id="rId249" Type="http://schemas.openxmlformats.org/officeDocument/2006/relationships/hyperlink" Target="https://drive.google.com/file/d/1Ft-QuAa1BiqGtpPVGbs0iwVaMS6Z203n/view?usp=drivesdk" TargetMode="External"/><Relationship Id="rId127" Type="http://schemas.openxmlformats.org/officeDocument/2006/relationships/hyperlink" Target="https://drive.google.com/file/d/1bkdzxcUYgQLnbTAgQJgtaN4exqRAUHGz/view?usp=drivesdk" TargetMode="External"/><Relationship Id="rId248" Type="http://schemas.openxmlformats.org/officeDocument/2006/relationships/hyperlink" Target="https://drive.google.com/file/d/1gD-IZEpTMMhEgWH2XI01gET5875uY6fx/view?usp=drivesdk" TargetMode="External"/><Relationship Id="rId126" Type="http://schemas.openxmlformats.org/officeDocument/2006/relationships/hyperlink" Target="https://drive.google.com/file/d/1Druz8gqE9FxNCvqU9EEJpCqTBV0feHOk/view?usp=drivesdk" TargetMode="External"/><Relationship Id="rId247" Type="http://schemas.openxmlformats.org/officeDocument/2006/relationships/hyperlink" Target="https://drive.google.com/file/d/1LIE5MV5Y4xUKPlH5GunbUAG6bZS8wOGZ/view?usp=drivesdk" TargetMode="External"/><Relationship Id="rId121" Type="http://schemas.openxmlformats.org/officeDocument/2006/relationships/hyperlink" Target="https://drive.google.com/file/d/1es7065Sld5_Xgvjo2kVQzEuhYGuLJdxu/view?usp=drivesdk" TargetMode="External"/><Relationship Id="rId242" Type="http://schemas.openxmlformats.org/officeDocument/2006/relationships/hyperlink" Target="https://drive.google.com/file/d/1pW5RxyCArHrYyg89IfE1X7r23rKjvWeN/view?usp=drivesdk" TargetMode="External"/><Relationship Id="rId120" Type="http://schemas.openxmlformats.org/officeDocument/2006/relationships/hyperlink" Target="https://drive.google.com/file/d/1Zg_sqKqqND8HoxKUQ-enzVKOKucu72k7/view?usp=drivesdk" TargetMode="External"/><Relationship Id="rId241" Type="http://schemas.openxmlformats.org/officeDocument/2006/relationships/hyperlink" Target="https://drive.google.com/file/d/1YfFNqab9NbQF3NiKUxXV6cw1gL6hbMG1/view?usp=drivesdk" TargetMode="External"/><Relationship Id="rId240" Type="http://schemas.openxmlformats.org/officeDocument/2006/relationships/hyperlink" Target="https://drive.google.com/file/d/1N9J_lVoyo_hvgXHwRhTLw-5Li6T0sUIp/view?usp=drivesdk" TargetMode="External"/><Relationship Id="rId125" Type="http://schemas.openxmlformats.org/officeDocument/2006/relationships/hyperlink" Target="https://drive.google.com/file/d/1rgXpraZKjSlVieS-axfDOMQU9nTzhdeH/view?usp=drivesdk" TargetMode="External"/><Relationship Id="rId246" Type="http://schemas.openxmlformats.org/officeDocument/2006/relationships/hyperlink" Target="https://drive.google.com/file/d/15XV9-2lFXiiUIxRUK5IHpYSfaMU6GoUx/view?usp=drivesdk" TargetMode="External"/><Relationship Id="rId124" Type="http://schemas.openxmlformats.org/officeDocument/2006/relationships/hyperlink" Target="https://drive.google.com/file/d/17jpoM_9T9Exg8NORgCS5-QZuqS5tJ1DF/view?usp=drivesdk" TargetMode="External"/><Relationship Id="rId245" Type="http://schemas.openxmlformats.org/officeDocument/2006/relationships/hyperlink" Target="https://drive.google.com/file/d/1JFBH0NayzeZq_F4hUHtkz87eMGQxW793/view?usp=drivesdk" TargetMode="External"/><Relationship Id="rId123" Type="http://schemas.openxmlformats.org/officeDocument/2006/relationships/hyperlink" Target="https://drive.google.com/file/d/1Wo1v9C6TUBiHA9lh6f47EQrzI3WdxFOF/view?usp=drivesdk" TargetMode="External"/><Relationship Id="rId244" Type="http://schemas.openxmlformats.org/officeDocument/2006/relationships/hyperlink" Target="https://drive.google.com/file/d/1QJUTfjMz8IHeHh3C335YfLmQY0A4jPlg/view?usp=drivesdk" TargetMode="External"/><Relationship Id="rId122" Type="http://schemas.openxmlformats.org/officeDocument/2006/relationships/hyperlink" Target="https://drive.google.com/file/d/1qyU4VCjJEauGoip0tnttbH2-C4-Hs8mo/view?usp=drivesdk" TargetMode="External"/><Relationship Id="rId243" Type="http://schemas.openxmlformats.org/officeDocument/2006/relationships/hyperlink" Target="https://drive.google.com/file/d/1iz1dUjkhmIRzwUO0FMnPCiBWD8TjJqxR/view?usp=drivesdk" TargetMode="External"/><Relationship Id="rId95" Type="http://schemas.openxmlformats.org/officeDocument/2006/relationships/hyperlink" Target="https://drive.google.com/file/d/1u862g_HA0SrONcO6QYnpQmbyxB5qGLN_/view?usp=drivesdk" TargetMode="External"/><Relationship Id="rId94" Type="http://schemas.openxmlformats.org/officeDocument/2006/relationships/hyperlink" Target="https://drive.google.com/file/d/1f8tZWK0BMcmkKdjdLYjjeNUcCt3b9G-4/view?usp=drivesdk" TargetMode="External"/><Relationship Id="rId97" Type="http://schemas.openxmlformats.org/officeDocument/2006/relationships/hyperlink" Target="https://drive.google.com/file/d/1f8tZWK0BMcmkKdjdLYjjeNUcCt3b9G-4/view?usp=drivesdk" TargetMode="External"/><Relationship Id="rId96" Type="http://schemas.openxmlformats.org/officeDocument/2006/relationships/hyperlink" Target="https://drive.google.com/file/d/1uEewG9QXqwxvh8mi1lvOLtyLyJwh99wM/view?usp=drivesdk" TargetMode="External"/><Relationship Id="rId99" Type="http://schemas.openxmlformats.org/officeDocument/2006/relationships/hyperlink" Target="https://drive.google.com/file/d/1u862g_HA0SrONcO6QYnpQmbyxB5qGLN_/view?usp=drivesdk" TargetMode="External"/><Relationship Id="rId98" Type="http://schemas.openxmlformats.org/officeDocument/2006/relationships/hyperlink" Target="https://drive.google.com/file/d/1X8nHWSx_Szn5zpk3JUGHqsz-md-3_lDU/view?usp=drivesdk" TargetMode="External"/><Relationship Id="rId91" Type="http://schemas.openxmlformats.org/officeDocument/2006/relationships/hyperlink" Target="https://drive.google.com/file/d/1n9Rzb1ojV0GjOQgqDr_n6eF5iICEZ_Vz/view?usp=drivesdk" TargetMode="External"/><Relationship Id="rId90" Type="http://schemas.openxmlformats.org/officeDocument/2006/relationships/hyperlink" Target="https://drive.google.com/file/d/1R6Us1GXARdm4sVuKXjqrWJC8OaZwDpiC/view?usp=drivesdk" TargetMode="External"/><Relationship Id="rId93" Type="http://schemas.openxmlformats.org/officeDocument/2006/relationships/hyperlink" Target="https://drive.google.com/file/d/1R6Us1GXARdm4sVuKXjqrWJC8OaZwDpiC/view?usp=drivesdk" TargetMode="External"/><Relationship Id="rId92" Type="http://schemas.openxmlformats.org/officeDocument/2006/relationships/hyperlink" Target="https://drive.google.com/file/d/1uEewG9QXqwxvh8mi1lvOLtyLyJwh99wM/view?usp=drivesdk" TargetMode="External"/><Relationship Id="rId118" Type="http://schemas.openxmlformats.org/officeDocument/2006/relationships/hyperlink" Target="https://drive.google.com/file/d/1iFPozKYNdagFcGMGquTNbxEExaKmrfXC/view?usp=drivesdk" TargetMode="External"/><Relationship Id="rId239" Type="http://schemas.openxmlformats.org/officeDocument/2006/relationships/hyperlink" Target="https://drive.google.com/file/d/1S1WWXTWbO8LZLV4Kasyxc2onC27dF0ig/view?usp=drivesdk" TargetMode="External"/><Relationship Id="rId117" Type="http://schemas.openxmlformats.org/officeDocument/2006/relationships/hyperlink" Target="https://drive.google.com/file/d/1m8HxnJ8Mr98j3QcXPPS4E4tB16OAyIEG/view?usp=drivesdk" TargetMode="External"/><Relationship Id="rId238" Type="http://schemas.openxmlformats.org/officeDocument/2006/relationships/hyperlink" Target="https://drive.google.com/file/d/1pKsDQmju16dVUSrYHwhoJVU2QelGgQbE/view?usp=drivesdk" TargetMode="External"/><Relationship Id="rId116" Type="http://schemas.openxmlformats.org/officeDocument/2006/relationships/hyperlink" Target="https://drive.google.com/file/d/1s2KBX55LZdlCA4_vQWMWUNEfKCL9Yerp/view?usp=drivesdk" TargetMode="External"/><Relationship Id="rId237" Type="http://schemas.openxmlformats.org/officeDocument/2006/relationships/hyperlink" Target="https://drive.google.com/file/d/1_xSGmwmhbzEwao9rVpE2cRdFf37krhH2/view?usp=drivesdk" TargetMode="External"/><Relationship Id="rId115" Type="http://schemas.openxmlformats.org/officeDocument/2006/relationships/hyperlink" Target="https://drive.google.com/file/d/1Li4zcwXjUVfAx8EEpvF6oIAw8gCzD03v/view?usp=drivesdk" TargetMode="External"/><Relationship Id="rId236" Type="http://schemas.openxmlformats.org/officeDocument/2006/relationships/hyperlink" Target="https://drive.google.com/file/d/1UpuTGsNBJQCyToxCxhiW5jgazFPb89A0/view?usp=drivesdk" TargetMode="External"/><Relationship Id="rId119" Type="http://schemas.openxmlformats.org/officeDocument/2006/relationships/hyperlink" Target="https://drive.google.com/file/d/1pH8055lykcd46tl69XG7gcQukk5qOArq/view?usp=drivesdk" TargetMode="External"/><Relationship Id="rId110" Type="http://schemas.openxmlformats.org/officeDocument/2006/relationships/hyperlink" Target="https://drive.google.com/file/d/1fb3tXTXE0g7HExGnHQPwF8Sscbp6xQmT/view?usp=drivesdk" TargetMode="External"/><Relationship Id="rId231" Type="http://schemas.openxmlformats.org/officeDocument/2006/relationships/hyperlink" Target="https://drive.google.com/file/d/1A447b_ebM6rJKoE3xGTy7vH2KSuKQwcD/view?usp=drivesdk" TargetMode="External"/><Relationship Id="rId230" Type="http://schemas.openxmlformats.org/officeDocument/2006/relationships/hyperlink" Target="https://drive.google.com/file/d/1MNjMPzoeC9wPz6zDeb-f8Z4gW-6yEZbI/view?usp=drivesdk" TargetMode="External"/><Relationship Id="rId114" Type="http://schemas.openxmlformats.org/officeDocument/2006/relationships/hyperlink" Target="https://drive.google.com/file/d/1q74wz7u0Gums0yRIclkWOeAWpC0u7CbL/view?usp=drivesdk" TargetMode="External"/><Relationship Id="rId235" Type="http://schemas.openxmlformats.org/officeDocument/2006/relationships/hyperlink" Target="https://drive.google.com/file/d/1HKgH_ubMDNXdwkX7azjKPQfLH-SGMjuZ/view?usp=drivesdk" TargetMode="External"/><Relationship Id="rId113" Type="http://schemas.openxmlformats.org/officeDocument/2006/relationships/hyperlink" Target="https://drive.google.com/file/d/1a6BjWdr75siMIB1vYPfswhqIaeGY6T1j/view?usp=drivesdk" TargetMode="External"/><Relationship Id="rId234" Type="http://schemas.openxmlformats.org/officeDocument/2006/relationships/hyperlink" Target="https://drive.google.com/file/d/1gEEfpSUvax3m1z2KUOvvqxiv_esx-xI9/view?usp=drivesdk" TargetMode="External"/><Relationship Id="rId112" Type="http://schemas.openxmlformats.org/officeDocument/2006/relationships/hyperlink" Target="https://drive.google.com/file/d/1PGMdAXE-YKc1h_yH6C7fy0vi3TIrdZK0/view?usp=drivesdk" TargetMode="External"/><Relationship Id="rId233" Type="http://schemas.openxmlformats.org/officeDocument/2006/relationships/hyperlink" Target="https://drive.google.com/file/d/1D7z_0Owd8ZpXpqA2ltCWZbBawqnAyWgW/view?usp=drivesdk" TargetMode="External"/><Relationship Id="rId111" Type="http://schemas.openxmlformats.org/officeDocument/2006/relationships/hyperlink" Target="https://drive.google.com/file/d/1-8ZtpvAULTD7NOBFGpFKK-Qv5pWN2oA6/view?usp=drivesdk" TargetMode="External"/><Relationship Id="rId232" Type="http://schemas.openxmlformats.org/officeDocument/2006/relationships/hyperlink" Target="https://drive.google.com/file/d/1rxDUbEERzMaIxiAt5375HLSz5wbS5FH-/view?usp=drivesdk" TargetMode="External"/><Relationship Id="rId305" Type="http://schemas.openxmlformats.org/officeDocument/2006/relationships/hyperlink" Target="https://drive.google.com/file/d/1CfR1f9Bol1nTdD1hHY2mSYEhkj888Ic4/view?usp=drivesdk" TargetMode="External"/><Relationship Id="rId304" Type="http://schemas.openxmlformats.org/officeDocument/2006/relationships/hyperlink" Target="https://drive.google.com/file/d/1kkkpWxp1tNLE8Pl6jdRgeYaPuOoKbY-S/view?usp=drivesdk" TargetMode="External"/><Relationship Id="rId303" Type="http://schemas.openxmlformats.org/officeDocument/2006/relationships/hyperlink" Target="https://drive.google.com/file/d/1zxCOo-fhRE9-dw86KT4sTTaErk9OjoIm/view?usp=drivesdk" TargetMode="External"/><Relationship Id="rId302" Type="http://schemas.openxmlformats.org/officeDocument/2006/relationships/hyperlink" Target="https://drive.google.com/file/d/1Fpt6rMSDhQ2GUkfmnH7yw7PAPpnjGczK/view?usp=drivesdk" TargetMode="External"/><Relationship Id="rId309" Type="http://schemas.openxmlformats.org/officeDocument/2006/relationships/hyperlink" Target="https://drive.google.com/file/d/1HdxDdAvLDodZ8MfEU9bcM1qOOQouNDL1/view?usp=drivesdk" TargetMode="External"/><Relationship Id="rId308" Type="http://schemas.openxmlformats.org/officeDocument/2006/relationships/hyperlink" Target="https://drive.google.com/file/d/1J73DgB9ORb7yt3PCKDnxnEjV_i8uf-A3/view?usp=drivesdk" TargetMode="External"/><Relationship Id="rId307" Type="http://schemas.openxmlformats.org/officeDocument/2006/relationships/hyperlink" Target="https://drive.google.com/file/d/19K2k9XqYdq9__AocxspvCOjR0FKWqoBW/view?usp=drivesdk" TargetMode="External"/><Relationship Id="rId306" Type="http://schemas.openxmlformats.org/officeDocument/2006/relationships/hyperlink" Target="https://drive.google.com/file/d/1wTnx75pSa0K6ZWUUUxp5044nbUBSTtV9/view?usp=drivesdk" TargetMode="External"/><Relationship Id="rId301" Type="http://schemas.openxmlformats.org/officeDocument/2006/relationships/hyperlink" Target="https://drive.google.com/file/d/1vSoz_ckb8rYaZPeGpVwhZV_46JYCD7OB/view?usp=drivesdk" TargetMode="External"/><Relationship Id="rId300" Type="http://schemas.openxmlformats.org/officeDocument/2006/relationships/hyperlink" Target="https://drive.google.com/file/d/1sSqYSN7ISnHT32R8EDfGcYeKajM8NmYP/view?usp=drivesdk" TargetMode="External"/><Relationship Id="rId206" Type="http://schemas.openxmlformats.org/officeDocument/2006/relationships/hyperlink" Target="https://drive.google.com/file/d/1JAKnCIPIh3Oh8tq6TXni9xGNDy4v2d94/view?usp=drivesdk" TargetMode="External"/><Relationship Id="rId205" Type="http://schemas.openxmlformats.org/officeDocument/2006/relationships/hyperlink" Target="https://drive.google.com/file/d/1kbyzaITLuwRpXXSpk7YNy9JUctUzMs2D/view?usp=drivesdk" TargetMode="External"/><Relationship Id="rId204" Type="http://schemas.openxmlformats.org/officeDocument/2006/relationships/hyperlink" Target="https://drive.google.com/file/d/1NA9ZvOytMQXTxbZenTamqC9tskPXa3Bt/view?usp=drivesdk" TargetMode="External"/><Relationship Id="rId203" Type="http://schemas.openxmlformats.org/officeDocument/2006/relationships/hyperlink" Target="https://drive.google.com/file/d/1P3v4ElRL7QIGvsLVVm8Oc7i-AgfRyxBc/view?usp=drivesdk" TargetMode="External"/><Relationship Id="rId209" Type="http://schemas.openxmlformats.org/officeDocument/2006/relationships/hyperlink" Target="https://drive.google.com/file/d/1ihqYFnXA3boyfdl-c3Af9wBTiv6UbA2C/view?usp=drivesdk" TargetMode="External"/><Relationship Id="rId208" Type="http://schemas.openxmlformats.org/officeDocument/2006/relationships/hyperlink" Target="https://drive.google.com/file/d/1FHST2g9z9ReyWpFlHyQEa3AD4XW39HBd/view?usp=drivesdk" TargetMode="External"/><Relationship Id="rId207" Type="http://schemas.openxmlformats.org/officeDocument/2006/relationships/hyperlink" Target="https://drive.google.com/file/d/1AUKY6Q1T68h1110MiPGfCrATo4ukq2Dh/view?usp=drivesdk" TargetMode="External"/><Relationship Id="rId202" Type="http://schemas.openxmlformats.org/officeDocument/2006/relationships/hyperlink" Target="https://drive.google.com/file/d/1_OI0vgGG8SYqj7Op4X2wZpsswLIP6ULN/view?usp=drivesdk" TargetMode="External"/><Relationship Id="rId201" Type="http://schemas.openxmlformats.org/officeDocument/2006/relationships/hyperlink" Target="https://drive.google.com/file/d/11fQi5odE42RjcRZm6uNuoCxOhbb-0hTa/view?usp=drivesdk" TargetMode="External"/><Relationship Id="rId200" Type="http://schemas.openxmlformats.org/officeDocument/2006/relationships/hyperlink" Target="https://drive.google.com/file/d/10I7pT5ZfsZlpHC-UJI8N_9k3GmSjRA4i/view?usp=drivesdk" TargetMode="External"/><Relationship Id="rId312" Type="http://schemas.openxmlformats.org/officeDocument/2006/relationships/drawing" Target="../drawings/drawing2.xml"/><Relationship Id="rId311" Type="http://schemas.openxmlformats.org/officeDocument/2006/relationships/hyperlink" Target="https://drive.google.com/file/d/1NONNONdiv3FbHbUmdKhL1hHLWkMFdiTF/view?usp=drivesdk" TargetMode="External"/><Relationship Id="rId310" Type="http://schemas.openxmlformats.org/officeDocument/2006/relationships/hyperlink" Target="https://drive.google.com/file/d/1RlnA7LoHBlSz321gOZHR0-F80zQ2N-LU/view?usp=drivesd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3.25"/>
    <col customWidth="1" hidden="1" min="3" max="3" width="8.38"/>
    <col customWidth="1" min="4" max="4" width="15.88"/>
    <col customWidth="1" min="5" max="5" width="16.0"/>
    <col customWidth="1" min="6" max="6" width="15.0"/>
    <col customWidth="1" min="7" max="7" width="13.75"/>
  </cols>
  <sheetData>
    <row r="1">
      <c r="A1" s="1" t="s">
        <v>0</v>
      </c>
      <c r="B1" s="1" t="s">
        <v>1</v>
      </c>
      <c r="C1" s="2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/>
      <c r="B2" s="4"/>
      <c r="C2" s="2"/>
      <c r="D2" s="5"/>
      <c r="E2" s="5"/>
      <c r="F2" s="5"/>
      <c r="G2" s="5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1" t="b">
        <v>0</v>
      </c>
      <c r="B3" s="3" t="str">
        <f>IFERROR(__xludf.DUMMYFUNCTION("UNIQUE(FILTER(VideoTimeStamps!A2:A1000, VideoTimeStamps!A2:A1000&lt;&gt;""""))"),"Jorynn")</f>
        <v>Jorynn</v>
      </c>
      <c r="C3" s="2" t="s">
        <v>16</v>
      </c>
      <c r="D3" s="1" t="str">
        <f t="array" ref="D3">IF(OR($B3="", D$2=""), "", IFERROR(INDEX(VideoTimeStamps!$C:$C, MATCH(1, INDEX((VideoTimeStamps!$A:$A=$B3)*ISNUMBER(SEARCH(D$2, VideoTimeStamps!$E:$E)), 0), 0)), ""))</f>
        <v/>
      </c>
      <c r="E3" s="7" t="str">
        <f t="array" ref="E3">IF(OR($B3="", E$2=""), "", IFERROR(INDEX(VideoTimeStamps!$C:$C, MATCH(1, INDEX((VideoTimeStamps!$A:$A=$B3)*ISNUMBER(SEARCH(E$2, VideoTimeStamps!$E:$E)), 0), 0)), ""))</f>
        <v/>
      </c>
      <c r="F3" s="7" t="str">
        <f t="array" ref="F3">IF(OR($B3="", F$2=""), "", IFERROR(INDEX(VideoTimeStamps!$C:$C, MATCH(1, INDEX((VideoTimeStamps!$A:$A=$B3)*ISNUMBER(SEARCH(F$2, VideoTimeStamps!$E:$E)), 0), 0)), ""))</f>
        <v/>
      </c>
      <c r="G3" s="3" t="str">
        <f t="array" ref="G3">IF(OR($B3="", G$2=""), "", IFERROR(INDEX(VideoTimeStamps!$C:$C, MATCH(1, INDEX((VideoTimeStamps!$A:$A=$B3)*ISNUMBER(SEARCH(G$2, VideoTimeStamps!$E:$E)), 0), 0)), ""))</f>
        <v/>
      </c>
      <c r="H3" s="3" t="str">
        <f t="array" ref="H3">IF(OR($B3="", H$2=""), "", IFERROR(INDEX(VideoTimeStamps!$C:$C, MATCH(1, INDEX((VideoTimeStamps!$A:$A=$B3)*ISNUMBER(SEARCH(H$2, VideoTimeStamps!$E:$E)), 0), 0)), ""))</f>
        <v/>
      </c>
      <c r="I3" s="3" t="str">
        <f t="array" ref="I3">IF(OR($B3="", I$2=""), "", IFERROR(INDEX(VideoTimeStamps!$C:$C, MATCH(1, INDEX((VideoTimeStamps!$A:$A=$B3)*ISNUMBER(SEARCH(I$2, VideoTimeStamps!$E:$E)), 0), 0)), ""))</f>
        <v/>
      </c>
      <c r="J3" s="3" t="str">
        <f t="array" ref="J3">IF(OR($B3="", J$2=""), "", IFERROR(INDEX(VideoTimeStamps!$C:$C, MATCH(1, INDEX((VideoTimeStamps!$A:$A=$B3)*ISNUMBER(SEARCH(J$2, VideoTimeStamps!$E:$E)), 0), 0)), ""))</f>
        <v/>
      </c>
      <c r="K3" s="3" t="str">
        <f t="array" ref="K3">IF(OR($B3="", K$2=""), "", IFERROR(INDEX(VideoTimeStamps!$C:$C, MATCH(1, INDEX((VideoTimeStamps!$A:$A=$B3)*ISNUMBER(SEARCH(K$2, VideoTimeStamps!$E:$E)), 0), 0)), ""))</f>
        <v/>
      </c>
      <c r="L3" s="3" t="str">
        <f t="array" ref="L3">IF(OR($B3="", L$2=""), "", IFERROR(INDEX(VideoTimeStamps!$C:$C, MATCH(1, INDEX((VideoTimeStamps!$A:$A=$B3)*ISNUMBER(SEARCH(L$2, VideoTimeStamps!$E:$E)), 0), 0)), ""))</f>
        <v/>
      </c>
      <c r="M3" s="3" t="str">
        <f t="array" ref="M3">IF(OR($B3="", M$2=""), "", IFERROR(INDEX(VideoTimeStamps!$C:$C, MATCH(1, INDEX((VideoTimeStamps!$A:$A=$B3)*ISNUMBER(SEARCH(M$2, VideoTimeStamps!$E:$E)), 0), 0)), ""))</f>
        <v/>
      </c>
      <c r="N3" s="3" t="str">
        <f t="array" ref="N3">IF(OR($B3="", N$2=""), "", IFERROR(INDEX(VideoTimeStamps!$C:$C, MATCH(1, INDEX((VideoTimeStamps!$A:$A=$B3)*ISNUMBER(SEARCH(N$2, VideoTimeStamps!$E:$E)), 0), 0)), ""))</f>
        <v/>
      </c>
      <c r="O3" s="3" t="str">
        <f t="array" ref="O3">IF(OR($B3="", O$2=""), "", IFERROR(INDEX(VideoTimeStamps!$C:$C, MATCH(1, INDEX((VideoTimeStamps!$A:$A=$B3)*ISNUMBER(SEARCH(O$2, VideoTimeStamps!$E:$E)), 0), 0)), ""))</f>
        <v/>
      </c>
      <c r="P3" s="3" t="str">
        <f t="array" ref="P3">IF(OR($B3="", P$2=""), "", IFERROR(INDEX(VideoTimeStamps!$C:$C, MATCH(1, INDEX((VideoTimeStamps!$A:$A=$B3)*ISNUMBER(SEARCH(P$2, VideoTimeStamps!$E:$E)), 0), 0)), ""))</f>
        <v/>
      </c>
      <c r="Q3" s="3" t="str">
        <f t="array" ref="Q3">IF(OR($B3="", Q$2=""), "", IFERROR(INDEX(VideoTimeStamps!$C:$C, MATCH(1, INDEX((VideoTimeStamps!$A:$A=$B3)*ISNUMBER(SEARCH(Q$2, VideoTimeStamps!$E:$E)), 0), 0)), ""))</f>
        <v/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" t="b">
        <v>0</v>
      </c>
      <c r="B4" s="3" t="str">
        <f>IFERROR(__xludf.DUMMYFUNCTION("""COMPUTED_VALUE"""),"Jasmine")</f>
        <v>Jasmine</v>
      </c>
      <c r="C4" s="8" t="s">
        <v>16</v>
      </c>
      <c r="D4" s="1" t="str">
        <f t="array" ref="D4">IF(OR($B4="", D$2=""), "", IFERROR(INDEX(VideoTimeStamps!$C:$C, MATCH(1, INDEX((VideoTimeStamps!$A:$A=$B4)*ISNUMBER(SEARCH(D$2, VideoTimeStamps!$E:$E)), 0), 0)), ""))</f>
        <v/>
      </c>
      <c r="E4" s="1" t="str">
        <f t="array" ref="E4">IF(OR($B4="", E$2=""), "", IFERROR(INDEX(VideoTimeStamps!$C:$C, MATCH(1, INDEX((VideoTimeStamps!$A:$A=$B4)*ISNUMBER(SEARCH(E$2, VideoTimeStamps!$E:$E)), 0), 0)), ""))</f>
        <v/>
      </c>
      <c r="F4" s="7" t="str">
        <f t="array" ref="F4">IF(OR($B4="", F$2=""), "", IFERROR(INDEX(VideoTimeStamps!$C:$C, MATCH(1, INDEX((VideoTimeStamps!$A:$A=$B4)*ISNUMBER(SEARCH(F$2, VideoTimeStamps!$E:$E)), 0), 0)), ""))</f>
        <v/>
      </c>
      <c r="G4" s="3" t="str">
        <f t="array" ref="G4">IF(OR($B4="", G$2=""), "", IFERROR(INDEX(VideoTimeStamps!$C:$C, MATCH(1, INDEX((VideoTimeStamps!$A:$A=$B4)*ISNUMBER(SEARCH(G$2, VideoTimeStamps!$E:$E)), 0), 0)), ""))</f>
        <v/>
      </c>
      <c r="H4" s="3" t="str">
        <f t="array" ref="H4">IF(OR($B4="", H$2=""), "", IFERROR(INDEX(VideoTimeStamps!$C:$C, MATCH(1, INDEX((VideoTimeStamps!$A:$A=$B4)*ISNUMBER(SEARCH(H$2, VideoTimeStamps!$E:$E)), 0), 0)), ""))</f>
        <v/>
      </c>
      <c r="I4" s="3" t="str">
        <f t="array" ref="I4">IF(OR($B4="", I$2=""), "", IFERROR(INDEX(VideoTimeStamps!$C:$C, MATCH(1, INDEX((VideoTimeStamps!$A:$A=$B4)*ISNUMBER(SEARCH(I$2, VideoTimeStamps!$E:$E)), 0), 0)), ""))</f>
        <v/>
      </c>
      <c r="J4" s="3" t="str">
        <f t="array" ref="J4">IF(OR($B4="", J$2=""), "", IFERROR(INDEX(VideoTimeStamps!$C:$C, MATCH(1, INDEX((VideoTimeStamps!$A:$A=$B4)*ISNUMBER(SEARCH(J$2, VideoTimeStamps!$E:$E)), 0), 0)), ""))</f>
        <v/>
      </c>
      <c r="K4" s="3" t="str">
        <f t="array" ref="K4">IF(OR($B4="", K$2=""), "", IFERROR(INDEX(VideoTimeStamps!$C:$C, MATCH(1, INDEX((VideoTimeStamps!$A:$A=$B4)*ISNUMBER(SEARCH(K$2, VideoTimeStamps!$E:$E)), 0), 0)), ""))</f>
        <v/>
      </c>
      <c r="L4" s="3" t="str">
        <f t="array" ref="L4">IF(OR($B4="", L$2=""), "", IFERROR(INDEX(VideoTimeStamps!$C:$C, MATCH(1, INDEX((VideoTimeStamps!$A:$A=$B4)*ISNUMBER(SEARCH(L$2, VideoTimeStamps!$E:$E)), 0), 0)), ""))</f>
        <v/>
      </c>
      <c r="M4" s="3" t="str">
        <f t="array" ref="M4">IF(OR($B4="", M$2=""), "", IFERROR(INDEX(VideoTimeStamps!$C:$C, MATCH(1, INDEX((VideoTimeStamps!$A:$A=$B4)*ISNUMBER(SEARCH(M$2, VideoTimeStamps!$E:$E)), 0), 0)), ""))</f>
        <v/>
      </c>
      <c r="N4" s="3" t="str">
        <f t="array" ref="N4">IF(OR($B4="", N$2=""), "", IFERROR(INDEX(VideoTimeStamps!$C:$C, MATCH(1, INDEX((VideoTimeStamps!$A:$A=$B4)*ISNUMBER(SEARCH(N$2, VideoTimeStamps!$E:$E)), 0), 0)), ""))</f>
        <v/>
      </c>
      <c r="O4" s="3" t="str">
        <f t="array" ref="O4">IF(OR($B4="", O$2=""), "", IFERROR(INDEX(VideoTimeStamps!$C:$C, MATCH(1, INDEX((VideoTimeStamps!$A:$A=$B4)*ISNUMBER(SEARCH(O$2, VideoTimeStamps!$E:$E)), 0), 0)), ""))</f>
        <v/>
      </c>
      <c r="P4" s="3" t="str">
        <f t="array" ref="P4">IF(OR($B4="", P$2=""), "", IFERROR(INDEX(VideoTimeStamps!$C:$C, MATCH(1, INDEX((VideoTimeStamps!$A:$A=$B4)*ISNUMBER(SEARCH(P$2, VideoTimeStamps!$E:$E)), 0), 0)), ""))</f>
        <v/>
      </c>
      <c r="Q4" s="3" t="str">
        <f t="array" ref="Q4">IF(OR($B4="", Q$2=""), "", IFERROR(INDEX(VideoTimeStamps!$C:$C, MATCH(1, INDEX((VideoTimeStamps!$A:$A=$B4)*ISNUMBER(SEARCH(Q$2, VideoTimeStamps!$E:$E)), 0), 0)), ""))</f>
        <v/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" t="b">
        <v>0</v>
      </c>
      <c r="B5" s="3" t="str">
        <f>IFERROR(__xludf.DUMMYFUNCTION("""COMPUTED_VALUE"""),"Nessa")</f>
        <v>Nessa</v>
      </c>
      <c r="C5" s="9"/>
      <c r="D5" s="3" t="str">
        <f t="array" ref="D5">IF(OR($B5="", D$2=""), "", IFERROR(INDEX(VideoTimeStamps!$C:$C, MATCH(1, INDEX((VideoTimeStamps!$A:$A=$B5)*ISNUMBER(SEARCH(D$2, VideoTimeStamps!$E:$E)), 0), 0)), ""))</f>
        <v/>
      </c>
      <c r="E5" s="3" t="str">
        <f t="array" ref="E5">IF(OR($B5="", E$2=""), "", IFERROR(INDEX(VideoTimeStamps!$C:$C, MATCH(1, INDEX((VideoTimeStamps!$A:$A=$B5)*ISNUMBER(SEARCH(E$2, VideoTimeStamps!$E:$E)), 0), 0)), ""))</f>
        <v/>
      </c>
      <c r="F5" s="3" t="str">
        <f t="array" ref="F5">IF(OR($B5="", F$2=""), "", IFERROR(INDEX(VideoTimeStamps!$C:$C, MATCH(1, INDEX((VideoTimeStamps!$A:$A=$B5)*ISNUMBER(SEARCH(F$2, VideoTimeStamps!$E:$E)), 0), 0)), ""))</f>
        <v/>
      </c>
      <c r="G5" s="3" t="str">
        <f t="array" ref="G5">IF(OR($B5="", G$2=""), "", IFERROR(INDEX(VideoTimeStamps!$C:$C, MATCH(1, INDEX((VideoTimeStamps!$A:$A=$B5)*ISNUMBER(SEARCH(G$2, VideoTimeStamps!$E:$E)), 0), 0)), ""))</f>
        <v/>
      </c>
      <c r="H5" s="3" t="str">
        <f t="array" ref="H5">IF(OR($B5="", H$2=""), "", IFERROR(INDEX(VideoTimeStamps!$C:$C, MATCH(1, INDEX((VideoTimeStamps!$A:$A=$B5)*ISNUMBER(SEARCH(H$2, VideoTimeStamps!$E:$E)), 0), 0)), ""))</f>
        <v/>
      </c>
      <c r="I5" s="3" t="str">
        <f t="array" ref="I5">IF(OR($B5="", I$2=""), "", IFERROR(INDEX(VideoTimeStamps!$C:$C, MATCH(1, INDEX((VideoTimeStamps!$A:$A=$B5)*ISNUMBER(SEARCH(I$2, VideoTimeStamps!$E:$E)), 0), 0)), ""))</f>
        <v/>
      </c>
      <c r="J5" s="3" t="str">
        <f t="array" ref="J5">IF(OR($B5="", J$2=""), "", IFERROR(INDEX(VideoTimeStamps!$C:$C, MATCH(1, INDEX((VideoTimeStamps!$A:$A=$B5)*ISNUMBER(SEARCH(J$2, VideoTimeStamps!$E:$E)), 0), 0)), ""))</f>
        <v/>
      </c>
      <c r="K5" s="3" t="str">
        <f t="array" ref="K5">IF(OR($B5="", K$2=""), "", IFERROR(INDEX(VideoTimeStamps!$C:$C, MATCH(1, INDEX((VideoTimeStamps!$A:$A=$B5)*ISNUMBER(SEARCH(K$2, VideoTimeStamps!$E:$E)), 0), 0)), ""))</f>
        <v/>
      </c>
      <c r="L5" s="3" t="str">
        <f t="array" ref="L5">IF(OR($B5="", L$2=""), "", IFERROR(INDEX(VideoTimeStamps!$C:$C, MATCH(1, INDEX((VideoTimeStamps!$A:$A=$B5)*ISNUMBER(SEARCH(L$2, VideoTimeStamps!$E:$E)), 0), 0)), ""))</f>
        <v/>
      </c>
      <c r="M5" s="3" t="str">
        <f t="array" ref="M5">IF(OR($B5="", M$2=""), "", IFERROR(INDEX(VideoTimeStamps!$C:$C, MATCH(1, INDEX((VideoTimeStamps!$A:$A=$B5)*ISNUMBER(SEARCH(M$2, VideoTimeStamps!$E:$E)), 0), 0)), ""))</f>
        <v/>
      </c>
      <c r="N5" s="3" t="str">
        <f t="array" ref="N5">IF(OR($B5="", N$2=""), "", IFERROR(INDEX(VideoTimeStamps!$C:$C, MATCH(1, INDEX((VideoTimeStamps!$A:$A=$B5)*ISNUMBER(SEARCH(N$2, VideoTimeStamps!$E:$E)), 0), 0)), ""))</f>
        <v/>
      </c>
      <c r="O5" s="3" t="str">
        <f t="array" ref="O5">IF(OR($B5="", O$2=""), "", IFERROR(INDEX(VideoTimeStamps!$C:$C, MATCH(1, INDEX((VideoTimeStamps!$A:$A=$B5)*ISNUMBER(SEARCH(O$2, VideoTimeStamps!$E:$E)), 0), 0)), ""))</f>
        <v/>
      </c>
      <c r="P5" s="3" t="str">
        <f t="array" ref="P5">IF(OR($B5="", P$2=""), "", IFERROR(INDEX(VideoTimeStamps!$C:$C, MATCH(1, INDEX((VideoTimeStamps!$A:$A=$B5)*ISNUMBER(SEARCH(P$2, VideoTimeStamps!$E:$E)), 0), 0)), ""))</f>
        <v/>
      </c>
      <c r="Q5" s="3" t="str">
        <f t="array" ref="Q5">IF(OR($B5="", Q$2=""), "", IFERROR(INDEX(VideoTimeStamps!$C:$C, MATCH(1, INDEX((VideoTimeStamps!$A:$A=$B5)*ISNUMBER(SEARCH(Q$2, VideoTimeStamps!$E:$E)), 0), 0)), ""))</f>
        <v/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" t="b">
        <v>0</v>
      </c>
      <c r="B6" s="3" t="str">
        <f>IFERROR(__xludf.DUMMYFUNCTION("""COMPUTED_VALUE"""),"jingwen")</f>
        <v>jingwen</v>
      </c>
      <c r="C6" s="9"/>
      <c r="D6" s="3" t="str">
        <f t="array" ref="D6">IF(OR($B6="", D$2=""), "", IFERROR(INDEX(VideoTimeStamps!$C:$C, MATCH(1, INDEX((VideoTimeStamps!$A:$A=$B6)*ISNUMBER(SEARCH(D$2, VideoTimeStamps!$E:$E)), 0), 0)), ""))</f>
        <v/>
      </c>
      <c r="E6" s="3" t="str">
        <f t="array" ref="E6">IF(OR($B6="", E$2=""), "", IFERROR(INDEX(VideoTimeStamps!$C:$C, MATCH(1, INDEX((VideoTimeStamps!$A:$A=$B6)*ISNUMBER(SEARCH(E$2, VideoTimeStamps!$E:$E)), 0), 0)), ""))</f>
        <v/>
      </c>
      <c r="F6" s="3" t="str">
        <f t="array" ref="F6">IF(OR($B6="", F$2=""), "", IFERROR(INDEX(VideoTimeStamps!$C:$C, MATCH(1, INDEX((VideoTimeStamps!$A:$A=$B6)*ISNUMBER(SEARCH(F$2, VideoTimeStamps!$E:$E)), 0), 0)), ""))</f>
        <v/>
      </c>
      <c r="G6" s="3" t="str">
        <f t="array" ref="G6">IF(OR($B6="", G$2=""), "", IFERROR(INDEX(VideoTimeStamps!$C:$C, MATCH(1, INDEX((VideoTimeStamps!$A:$A=$B6)*ISNUMBER(SEARCH(G$2, VideoTimeStamps!$E:$E)), 0), 0)), ""))</f>
        <v/>
      </c>
      <c r="H6" s="3" t="str">
        <f t="array" ref="H6">IF(OR($B6="", H$2=""), "", IFERROR(INDEX(VideoTimeStamps!$C:$C, MATCH(1, INDEX((VideoTimeStamps!$A:$A=$B6)*ISNUMBER(SEARCH(H$2, VideoTimeStamps!$E:$E)), 0), 0)), ""))</f>
        <v/>
      </c>
      <c r="I6" s="3" t="str">
        <f t="array" ref="I6">IF(OR($B6="", I$2=""), "", IFERROR(INDEX(VideoTimeStamps!$C:$C, MATCH(1, INDEX((VideoTimeStamps!$A:$A=$B6)*ISNUMBER(SEARCH(I$2, VideoTimeStamps!$E:$E)), 0), 0)), ""))</f>
        <v/>
      </c>
      <c r="J6" s="3" t="str">
        <f t="array" ref="J6">IF(OR($B6="", J$2=""), "", IFERROR(INDEX(VideoTimeStamps!$C:$C, MATCH(1, INDEX((VideoTimeStamps!$A:$A=$B6)*ISNUMBER(SEARCH(J$2, VideoTimeStamps!$E:$E)), 0), 0)), ""))</f>
        <v/>
      </c>
      <c r="K6" s="3" t="str">
        <f t="array" ref="K6">IF(OR($B6="", K$2=""), "", IFERROR(INDEX(VideoTimeStamps!$C:$C, MATCH(1, INDEX((VideoTimeStamps!$A:$A=$B6)*ISNUMBER(SEARCH(K$2, VideoTimeStamps!$E:$E)), 0), 0)), ""))</f>
        <v/>
      </c>
      <c r="L6" s="3" t="str">
        <f t="array" ref="L6">IF(OR($B6="", L$2=""), "", IFERROR(INDEX(VideoTimeStamps!$C:$C, MATCH(1, INDEX((VideoTimeStamps!$A:$A=$B6)*ISNUMBER(SEARCH(L$2, VideoTimeStamps!$E:$E)), 0), 0)), ""))</f>
        <v/>
      </c>
      <c r="M6" s="3" t="str">
        <f t="array" ref="M6">IF(OR($B6="", M$2=""), "", IFERROR(INDEX(VideoTimeStamps!$C:$C, MATCH(1, INDEX((VideoTimeStamps!$A:$A=$B6)*ISNUMBER(SEARCH(M$2, VideoTimeStamps!$E:$E)), 0), 0)), ""))</f>
        <v/>
      </c>
      <c r="N6" s="3" t="str">
        <f t="array" ref="N6">IF(OR($B6="", N$2=""), "", IFERROR(INDEX(VideoTimeStamps!$C:$C, MATCH(1, INDEX((VideoTimeStamps!$A:$A=$B6)*ISNUMBER(SEARCH(N$2, VideoTimeStamps!$E:$E)), 0), 0)), ""))</f>
        <v/>
      </c>
      <c r="O6" s="3" t="str">
        <f t="array" ref="O6">IF(OR($B6="", O$2=""), "", IFERROR(INDEX(VideoTimeStamps!$C:$C, MATCH(1, INDEX((VideoTimeStamps!$A:$A=$B6)*ISNUMBER(SEARCH(O$2, VideoTimeStamps!$E:$E)), 0), 0)), ""))</f>
        <v/>
      </c>
      <c r="P6" s="3" t="str">
        <f t="array" ref="P6">IF(OR($B6="", P$2=""), "", IFERROR(INDEX(VideoTimeStamps!$C:$C, MATCH(1, INDEX((VideoTimeStamps!$A:$A=$B6)*ISNUMBER(SEARCH(P$2, VideoTimeStamps!$E:$E)), 0), 0)), ""))</f>
        <v/>
      </c>
      <c r="Q6" s="3" t="str">
        <f t="array" ref="Q6">IF(OR($B6="", Q$2=""), "", IFERROR(INDEX(VideoTimeStamps!$C:$C, MATCH(1, INDEX((VideoTimeStamps!$A:$A=$B6)*ISNUMBER(SEARCH(Q$2, VideoTimeStamps!$E:$E)), 0), 0)), ""))</f>
        <v/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 t="b">
        <v>0</v>
      </c>
      <c r="B7" s="3" t="str">
        <f>IFERROR(__xludf.DUMMYFUNCTION("""COMPUTED_VALUE"""),"qian")</f>
        <v>qian</v>
      </c>
      <c r="C7" s="9"/>
      <c r="D7" s="3" t="str">
        <f t="array" ref="D7">IF(OR($B7="", D$2=""), "", IFERROR(INDEX(VideoTimeStamps!$C:$C, MATCH(1, INDEX((VideoTimeStamps!$A:$A=$B7)*ISNUMBER(SEARCH(D$2, VideoTimeStamps!$E:$E)), 0), 0)), ""))</f>
        <v/>
      </c>
      <c r="E7" s="3" t="str">
        <f t="array" ref="E7">IF(OR($B7="", E$2=""), "", IFERROR(INDEX(VideoTimeStamps!$C:$C, MATCH(1, INDEX((VideoTimeStamps!$A:$A=$B7)*ISNUMBER(SEARCH(E$2, VideoTimeStamps!$E:$E)), 0), 0)), ""))</f>
        <v/>
      </c>
      <c r="F7" s="3" t="str">
        <f t="array" ref="F7">IF(OR($B7="", F$2=""), "", IFERROR(INDEX(VideoTimeStamps!$C:$C, MATCH(1, INDEX((VideoTimeStamps!$A:$A=$B7)*ISNUMBER(SEARCH(F$2, VideoTimeStamps!$E:$E)), 0), 0)), ""))</f>
        <v/>
      </c>
      <c r="G7" s="3" t="str">
        <f t="array" ref="G7">IF(OR($B7="", G$2=""), "", IFERROR(INDEX(VideoTimeStamps!$C:$C, MATCH(1, INDEX((VideoTimeStamps!$A:$A=$B7)*ISNUMBER(SEARCH(G$2, VideoTimeStamps!$E:$E)), 0), 0)), ""))</f>
        <v/>
      </c>
      <c r="H7" s="3" t="str">
        <f t="array" ref="H7">IF(OR($B7="", H$2=""), "", IFERROR(INDEX(VideoTimeStamps!$C:$C, MATCH(1, INDEX((VideoTimeStamps!$A:$A=$B7)*ISNUMBER(SEARCH(H$2, VideoTimeStamps!$E:$E)), 0), 0)), ""))</f>
        <v/>
      </c>
      <c r="I7" s="3" t="str">
        <f t="array" ref="I7">IF(OR($B7="", I$2=""), "", IFERROR(INDEX(VideoTimeStamps!$C:$C, MATCH(1, INDEX((VideoTimeStamps!$A:$A=$B7)*ISNUMBER(SEARCH(I$2, VideoTimeStamps!$E:$E)), 0), 0)), ""))</f>
        <v/>
      </c>
      <c r="J7" s="3" t="str">
        <f t="array" ref="J7">IF(OR($B7="", J$2=""), "", IFERROR(INDEX(VideoTimeStamps!$C:$C, MATCH(1, INDEX((VideoTimeStamps!$A:$A=$B7)*ISNUMBER(SEARCH(J$2, VideoTimeStamps!$E:$E)), 0), 0)), ""))</f>
        <v/>
      </c>
      <c r="K7" s="3" t="str">
        <f t="array" ref="K7">IF(OR($B7="", K$2=""), "", IFERROR(INDEX(VideoTimeStamps!$C:$C, MATCH(1, INDEX((VideoTimeStamps!$A:$A=$B7)*ISNUMBER(SEARCH(K$2, VideoTimeStamps!$E:$E)), 0), 0)), ""))</f>
        <v/>
      </c>
      <c r="L7" s="3" t="str">
        <f t="array" ref="L7">IF(OR($B7="", L$2=""), "", IFERROR(INDEX(VideoTimeStamps!$C:$C, MATCH(1, INDEX((VideoTimeStamps!$A:$A=$B7)*ISNUMBER(SEARCH(L$2, VideoTimeStamps!$E:$E)), 0), 0)), ""))</f>
        <v/>
      </c>
      <c r="M7" s="3" t="str">
        <f t="array" ref="M7">IF(OR($B7="", M$2=""), "", IFERROR(INDEX(VideoTimeStamps!$C:$C, MATCH(1, INDEX((VideoTimeStamps!$A:$A=$B7)*ISNUMBER(SEARCH(M$2, VideoTimeStamps!$E:$E)), 0), 0)), ""))</f>
        <v/>
      </c>
      <c r="N7" s="3" t="str">
        <f t="array" ref="N7">IF(OR($B7="", N$2=""), "", IFERROR(INDEX(VideoTimeStamps!$C:$C, MATCH(1, INDEX((VideoTimeStamps!$A:$A=$B7)*ISNUMBER(SEARCH(N$2, VideoTimeStamps!$E:$E)), 0), 0)), ""))</f>
        <v/>
      </c>
      <c r="O7" s="3" t="str">
        <f t="array" ref="O7">IF(OR($B7="", O$2=""), "", IFERROR(INDEX(VideoTimeStamps!$C:$C, MATCH(1, INDEX((VideoTimeStamps!$A:$A=$B7)*ISNUMBER(SEARCH(O$2, VideoTimeStamps!$E:$E)), 0), 0)), ""))</f>
        <v/>
      </c>
      <c r="P7" s="3" t="str">
        <f t="array" ref="P7">IF(OR($B7="", P$2=""), "", IFERROR(INDEX(VideoTimeStamps!$C:$C, MATCH(1, INDEX((VideoTimeStamps!$A:$A=$B7)*ISNUMBER(SEARCH(P$2, VideoTimeStamps!$E:$E)), 0), 0)), ""))</f>
        <v/>
      </c>
      <c r="Q7" s="3" t="str">
        <f t="array" ref="Q7">IF(OR($B7="", Q$2=""), "", IFERROR(INDEX(VideoTimeStamps!$C:$C, MATCH(1, INDEX((VideoTimeStamps!$A:$A=$B7)*ISNUMBER(SEARCH(Q$2, VideoTimeStamps!$E:$E)), 0), 0)), ""))</f>
        <v/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 t="b">
        <v>0</v>
      </c>
      <c r="B8" s="3" t="str">
        <f>IFERROR(__xludf.DUMMYFUNCTION("""COMPUTED_VALUE"""),"Deb")</f>
        <v>Deb</v>
      </c>
      <c r="C8" s="9"/>
      <c r="D8" s="3" t="str">
        <f t="array" ref="D8">IF(OR($B8="", D$2=""), "", IFERROR(INDEX(VideoTimeStamps!$C:$C, MATCH(1, INDEX((VideoTimeStamps!$A:$A=$B8)*ISNUMBER(SEARCH(D$2, VideoTimeStamps!$E:$E)), 0), 0)), ""))</f>
        <v/>
      </c>
      <c r="E8" s="3" t="str">
        <f t="array" ref="E8">IF(OR($B8="", E$2=""), "", IFERROR(INDEX(VideoTimeStamps!$C:$C, MATCH(1, INDEX((VideoTimeStamps!$A:$A=$B8)*ISNUMBER(SEARCH(E$2, VideoTimeStamps!$E:$E)), 0), 0)), ""))</f>
        <v/>
      </c>
      <c r="F8" s="3" t="str">
        <f t="array" ref="F8">IF(OR($B8="", F$2=""), "", IFERROR(INDEX(VideoTimeStamps!$C:$C, MATCH(1, INDEX((VideoTimeStamps!$A:$A=$B8)*ISNUMBER(SEARCH(F$2, VideoTimeStamps!$E:$E)), 0), 0)), ""))</f>
        <v/>
      </c>
      <c r="G8" s="3" t="str">
        <f t="array" ref="G8">IF(OR($B8="", G$2=""), "", IFERROR(INDEX(VideoTimeStamps!$C:$C, MATCH(1, INDEX((VideoTimeStamps!$A:$A=$B8)*ISNUMBER(SEARCH(G$2, VideoTimeStamps!$E:$E)), 0), 0)), ""))</f>
        <v/>
      </c>
      <c r="H8" s="3" t="str">
        <f t="array" ref="H8">IF(OR($B8="", H$2=""), "", IFERROR(INDEX(VideoTimeStamps!$C:$C, MATCH(1, INDEX((VideoTimeStamps!$A:$A=$B8)*ISNUMBER(SEARCH(H$2, VideoTimeStamps!$E:$E)), 0), 0)), ""))</f>
        <v/>
      </c>
      <c r="I8" s="3" t="str">
        <f t="array" ref="I8">IF(OR($B8="", I$2=""), "", IFERROR(INDEX(VideoTimeStamps!$C:$C, MATCH(1, INDEX((VideoTimeStamps!$A:$A=$B8)*ISNUMBER(SEARCH(I$2, VideoTimeStamps!$E:$E)), 0), 0)), ""))</f>
        <v/>
      </c>
      <c r="J8" s="3" t="str">
        <f t="array" ref="J8">IF(OR($B8="", J$2=""), "", IFERROR(INDEX(VideoTimeStamps!$C:$C, MATCH(1, INDEX((VideoTimeStamps!$A:$A=$B8)*ISNUMBER(SEARCH(J$2, VideoTimeStamps!$E:$E)), 0), 0)), ""))</f>
        <v/>
      </c>
      <c r="K8" s="3" t="str">
        <f t="array" ref="K8">IF(OR($B8="", K$2=""), "", IFERROR(INDEX(VideoTimeStamps!$C:$C, MATCH(1, INDEX((VideoTimeStamps!$A:$A=$B8)*ISNUMBER(SEARCH(K$2, VideoTimeStamps!$E:$E)), 0), 0)), ""))</f>
        <v/>
      </c>
      <c r="L8" s="3" t="str">
        <f t="array" ref="L8">IF(OR($B8="", L$2=""), "", IFERROR(INDEX(VideoTimeStamps!$C:$C, MATCH(1, INDEX((VideoTimeStamps!$A:$A=$B8)*ISNUMBER(SEARCH(L$2, VideoTimeStamps!$E:$E)), 0), 0)), ""))</f>
        <v/>
      </c>
      <c r="M8" s="3" t="str">
        <f t="array" ref="M8">IF(OR($B8="", M$2=""), "", IFERROR(INDEX(VideoTimeStamps!$C:$C, MATCH(1, INDEX((VideoTimeStamps!$A:$A=$B8)*ISNUMBER(SEARCH(M$2, VideoTimeStamps!$E:$E)), 0), 0)), ""))</f>
        <v/>
      </c>
      <c r="N8" s="3" t="str">
        <f t="array" ref="N8">IF(OR($B8="", N$2=""), "", IFERROR(INDEX(VideoTimeStamps!$C:$C, MATCH(1, INDEX((VideoTimeStamps!$A:$A=$B8)*ISNUMBER(SEARCH(N$2, VideoTimeStamps!$E:$E)), 0), 0)), ""))</f>
        <v/>
      </c>
      <c r="O8" s="3" t="str">
        <f t="array" ref="O8">IF(OR($B8="", O$2=""), "", IFERROR(INDEX(VideoTimeStamps!$C:$C, MATCH(1, INDEX((VideoTimeStamps!$A:$A=$B8)*ISNUMBER(SEARCH(O$2, VideoTimeStamps!$E:$E)), 0), 0)), ""))</f>
        <v/>
      </c>
      <c r="P8" s="3" t="str">
        <f t="array" ref="P8">IF(OR($B8="", P$2=""), "", IFERROR(INDEX(VideoTimeStamps!$C:$C, MATCH(1, INDEX((VideoTimeStamps!$A:$A=$B8)*ISNUMBER(SEARCH(P$2, VideoTimeStamps!$E:$E)), 0), 0)), ""))</f>
        <v/>
      </c>
      <c r="Q8" s="3" t="str">
        <f t="array" ref="Q8">IF(OR($B8="", Q$2=""), "", IFERROR(INDEX(VideoTimeStamps!$C:$C, MATCH(1, INDEX((VideoTimeStamps!$A:$A=$B8)*ISNUMBER(SEARCH(Q$2, VideoTimeStamps!$E:$E)), 0), 0)), ""))</f>
        <v/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 t="b">
        <v>0</v>
      </c>
      <c r="B9" s="3" t="str">
        <f>IFERROR(__xludf.DUMMYFUNCTION("""COMPUTED_VALUE"""),"Serena")</f>
        <v>Serena</v>
      </c>
      <c r="C9" s="9"/>
      <c r="D9" s="3" t="str">
        <f t="array" ref="D9">IF(OR($B9="", D$2=""), "", IFERROR(INDEX(VideoTimeStamps!$C:$C, MATCH(1, INDEX((VideoTimeStamps!$A:$A=$B9)*ISNUMBER(SEARCH(D$2, VideoTimeStamps!$E:$E)), 0), 0)), ""))</f>
        <v/>
      </c>
      <c r="E9" s="3" t="str">
        <f t="array" ref="E9">IF(OR($B9="", E$2=""), "", IFERROR(INDEX(VideoTimeStamps!$C:$C, MATCH(1, INDEX((VideoTimeStamps!$A:$A=$B9)*ISNUMBER(SEARCH(E$2, VideoTimeStamps!$E:$E)), 0), 0)), ""))</f>
        <v/>
      </c>
      <c r="F9" s="3" t="str">
        <f t="array" ref="F9">IF(OR($B9="", F$2=""), "", IFERROR(INDEX(VideoTimeStamps!$C:$C, MATCH(1, INDEX((VideoTimeStamps!$A:$A=$B9)*ISNUMBER(SEARCH(F$2, VideoTimeStamps!$E:$E)), 0), 0)), ""))</f>
        <v/>
      </c>
      <c r="G9" s="3" t="str">
        <f t="array" ref="G9">IF(OR($B9="", G$2=""), "", IFERROR(INDEX(VideoTimeStamps!$C:$C, MATCH(1, INDEX((VideoTimeStamps!$A:$A=$B9)*ISNUMBER(SEARCH(G$2, VideoTimeStamps!$E:$E)), 0), 0)), ""))</f>
        <v/>
      </c>
      <c r="H9" s="3" t="str">
        <f t="array" ref="H9">IF(OR($B9="", H$2=""), "", IFERROR(INDEX(VideoTimeStamps!$C:$C, MATCH(1, INDEX((VideoTimeStamps!$A:$A=$B9)*ISNUMBER(SEARCH(H$2, VideoTimeStamps!$E:$E)), 0), 0)), ""))</f>
        <v/>
      </c>
      <c r="I9" s="3" t="str">
        <f t="array" ref="I9">IF(OR($B9="", I$2=""), "", IFERROR(INDEX(VideoTimeStamps!$C:$C, MATCH(1, INDEX((VideoTimeStamps!$A:$A=$B9)*ISNUMBER(SEARCH(I$2, VideoTimeStamps!$E:$E)), 0), 0)), ""))</f>
        <v/>
      </c>
      <c r="J9" s="3" t="str">
        <f t="array" ref="J9">IF(OR($B9="", J$2=""), "", IFERROR(INDEX(VideoTimeStamps!$C:$C, MATCH(1, INDEX((VideoTimeStamps!$A:$A=$B9)*ISNUMBER(SEARCH(J$2, VideoTimeStamps!$E:$E)), 0), 0)), ""))</f>
        <v/>
      </c>
      <c r="K9" s="3" t="str">
        <f t="array" ref="K9">IF(OR($B9="", K$2=""), "", IFERROR(INDEX(VideoTimeStamps!$C:$C, MATCH(1, INDEX((VideoTimeStamps!$A:$A=$B9)*ISNUMBER(SEARCH(K$2, VideoTimeStamps!$E:$E)), 0), 0)), ""))</f>
        <v/>
      </c>
      <c r="L9" s="3" t="str">
        <f t="array" ref="L9">IF(OR($B9="", L$2=""), "", IFERROR(INDEX(VideoTimeStamps!$C:$C, MATCH(1, INDEX((VideoTimeStamps!$A:$A=$B9)*ISNUMBER(SEARCH(L$2, VideoTimeStamps!$E:$E)), 0), 0)), ""))</f>
        <v/>
      </c>
      <c r="M9" s="3" t="str">
        <f t="array" ref="M9">IF(OR($B9="", M$2=""), "", IFERROR(INDEX(VideoTimeStamps!$C:$C, MATCH(1, INDEX((VideoTimeStamps!$A:$A=$B9)*ISNUMBER(SEARCH(M$2, VideoTimeStamps!$E:$E)), 0), 0)), ""))</f>
        <v/>
      </c>
      <c r="N9" s="3" t="str">
        <f t="array" ref="N9">IF(OR($B9="", N$2=""), "", IFERROR(INDEX(VideoTimeStamps!$C:$C, MATCH(1, INDEX((VideoTimeStamps!$A:$A=$B9)*ISNUMBER(SEARCH(N$2, VideoTimeStamps!$E:$E)), 0), 0)), ""))</f>
        <v/>
      </c>
      <c r="O9" s="3" t="str">
        <f t="array" ref="O9">IF(OR($B9="", O$2=""), "", IFERROR(INDEX(VideoTimeStamps!$C:$C, MATCH(1, INDEX((VideoTimeStamps!$A:$A=$B9)*ISNUMBER(SEARCH(O$2, VideoTimeStamps!$E:$E)), 0), 0)), ""))</f>
        <v/>
      </c>
      <c r="P9" s="3" t="str">
        <f t="array" ref="P9">IF(OR($B9="", P$2=""), "", IFERROR(INDEX(VideoTimeStamps!$C:$C, MATCH(1, INDEX((VideoTimeStamps!$A:$A=$B9)*ISNUMBER(SEARCH(P$2, VideoTimeStamps!$E:$E)), 0), 0)), ""))</f>
        <v/>
      </c>
      <c r="Q9" s="3" t="str">
        <f t="array" ref="Q9">IF(OR($B9="", Q$2=""), "", IFERROR(INDEX(VideoTimeStamps!$C:$C, MATCH(1, INDEX((VideoTimeStamps!$A:$A=$B9)*ISNUMBER(SEARCH(Q$2, VideoTimeStamps!$E:$E)), 0), 0)), ""))</f>
        <v/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 t="b">
        <v>0</v>
      </c>
      <c r="B10" s="3" t="str">
        <f>IFERROR(__xludf.DUMMYFUNCTION("""COMPUTED_VALUE"""),"singapore.babydiary")</f>
        <v>singapore.babydiary</v>
      </c>
      <c r="C10" s="9"/>
      <c r="D10" s="3" t="str">
        <f t="array" ref="D10">IF(OR($B10="", D$2=""), "", IFERROR(INDEX(VideoTimeStamps!$C:$C, MATCH(1, INDEX((VideoTimeStamps!$A:$A=$B10)*ISNUMBER(SEARCH(D$2, VideoTimeStamps!$E:$E)), 0), 0)), ""))</f>
        <v/>
      </c>
      <c r="E10" s="3" t="str">
        <f t="array" ref="E10">IF(OR($B10="", E$2=""), "", IFERROR(INDEX(VideoTimeStamps!$C:$C, MATCH(1, INDEX((VideoTimeStamps!$A:$A=$B10)*ISNUMBER(SEARCH(E$2, VideoTimeStamps!$E:$E)), 0), 0)), ""))</f>
        <v/>
      </c>
      <c r="F10" s="3" t="str">
        <f t="array" ref="F10">IF(OR($B10="", F$2=""), "", IFERROR(INDEX(VideoTimeStamps!$C:$C, MATCH(1, INDEX((VideoTimeStamps!$A:$A=$B10)*ISNUMBER(SEARCH(F$2, VideoTimeStamps!$E:$E)), 0), 0)), ""))</f>
        <v/>
      </c>
      <c r="G10" s="3" t="str">
        <f t="array" ref="G10">IF(OR($B10="", G$2=""), "", IFERROR(INDEX(VideoTimeStamps!$C:$C, MATCH(1, INDEX((VideoTimeStamps!$A:$A=$B10)*ISNUMBER(SEARCH(G$2, VideoTimeStamps!$E:$E)), 0), 0)), ""))</f>
        <v/>
      </c>
      <c r="H10" s="3" t="str">
        <f t="array" ref="H10">IF(OR($B10="", H$2=""), "", IFERROR(INDEX(VideoTimeStamps!$C:$C, MATCH(1, INDEX((VideoTimeStamps!$A:$A=$B10)*ISNUMBER(SEARCH(H$2, VideoTimeStamps!$E:$E)), 0), 0)), ""))</f>
        <v/>
      </c>
      <c r="I10" s="3" t="str">
        <f t="array" ref="I10">IF(OR($B10="", I$2=""), "", IFERROR(INDEX(VideoTimeStamps!$C:$C, MATCH(1, INDEX((VideoTimeStamps!$A:$A=$B10)*ISNUMBER(SEARCH(I$2, VideoTimeStamps!$E:$E)), 0), 0)), ""))</f>
        <v/>
      </c>
      <c r="J10" s="3" t="str">
        <f t="array" ref="J10">IF(OR($B10="", J$2=""), "", IFERROR(INDEX(VideoTimeStamps!$C:$C, MATCH(1, INDEX((VideoTimeStamps!$A:$A=$B10)*ISNUMBER(SEARCH(J$2, VideoTimeStamps!$E:$E)), 0), 0)), ""))</f>
        <v/>
      </c>
      <c r="K10" s="3" t="str">
        <f t="array" ref="K10">IF(OR($B10="", K$2=""), "", IFERROR(INDEX(VideoTimeStamps!$C:$C, MATCH(1, INDEX((VideoTimeStamps!$A:$A=$B10)*ISNUMBER(SEARCH(K$2, VideoTimeStamps!$E:$E)), 0), 0)), ""))</f>
        <v/>
      </c>
      <c r="L10" s="3" t="str">
        <f t="array" ref="L10">IF(OR($B10="", L$2=""), "", IFERROR(INDEX(VideoTimeStamps!$C:$C, MATCH(1, INDEX((VideoTimeStamps!$A:$A=$B10)*ISNUMBER(SEARCH(L$2, VideoTimeStamps!$E:$E)), 0), 0)), ""))</f>
        <v/>
      </c>
      <c r="M10" s="3" t="str">
        <f t="array" ref="M10">IF(OR($B10="", M$2=""), "", IFERROR(INDEX(VideoTimeStamps!$C:$C, MATCH(1, INDEX((VideoTimeStamps!$A:$A=$B10)*ISNUMBER(SEARCH(M$2, VideoTimeStamps!$E:$E)), 0), 0)), ""))</f>
        <v/>
      </c>
      <c r="N10" s="3" t="str">
        <f t="array" ref="N10">IF(OR($B10="", N$2=""), "", IFERROR(INDEX(VideoTimeStamps!$C:$C, MATCH(1, INDEX((VideoTimeStamps!$A:$A=$B10)*ISNUMBER(SEARCH(N$2, VideoTimeStamps!$E:$E)), 0), 0)), ""))</f>
        <v/>
      </c>
      <c r="O10" s="3" t="str">
        <f t="array" ref="O10">IF(OR($B10="", O$2=""), "", IFERROR(INDEX(VideoTimeStamps!$C:$C, MATCH(1, INDEX((VideoTimeStamps!$A:$A=$B10)*ISNUMBER(SEARCH(O$2, VideoTimeStamps!$E:$E)), 0), 0)), ""))</f>
        <v/>
      </c>
      <c r="P10" s="3" t="str">
        <f t="array" ref="P10">IF(OR($B10="", P$2=""), "", IFERROR(INDEX(VideoTimeStamps!$C:$C, MATCH(1, INDEX((VideoTimeStamps!$A:$A=$B10)*ISNUMBER(SEARCH(P$2, VideoTimeStamps!$E:$E)), 0), 0)), ""))</f>
        <v/>
      </c>
      <c r="Q10" s="3" t="str">
        <f t="array" ref="Q10">IF(OR($B10="", Q$2=""), "", IFERROR(INDEX(VideoTimeStamps!$C:$C, MATCH(1, INDEX((VideoTimeStamps!$A:$A=$B10)*ISNUMBER(SEARCH(Q$2, VideoTimeStamps!$E:$E)), 0), 0)), ""))</f>
        <v/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 t="b">
        <v>0</v>
      </c>
      <c r="B11" s="3" t="str">
        <f>IFERROR(__xludf.DUMMYFUNCTION("""COMPUTED_VALUE"""),"simletseat")</f>
        <v>simletseat</v>
      </c>
      <c r="C11" s="9"/>
      <c r="D11" s="3" t="str">
        <f t="array" ref="D11">IF(OR($B11="", D$2=""), "", IFERROR(INDEX(VideoTimeStamps!$C:$C, MATCH(1, INDEX((VideoTimeStamps!$A:$A=$B11)*ISNUMBER(SEARCH(D$2, VideoTimeStamps!$E:$E)), 0), 0)), ""))</f>
        <v/>
      </c>
      <c r="E11" s="3" t="str">
        <f t="array" ref="E11">IF(OR($B11="", E$2=""), "", IFERROR(INDEX(VideoTimeStamps!$C:$C, MATCH(1, INDEX((VideoTimeStamps!$A:$A=$B11)*ISNUMBER(SEARCH(E$2, VideoTimeStamps!$E:$E)), 0), 0)), ""))</f>
        <v/>
      </c>
      <c r="F11" s="3" t="str">
        <f t="array" ref="F11">IF(OR($B11="", F$2=""), "", IFERROR(INDEX(VideoTimeStamps!$C:$C, MATCH(1, INDEX((VideoTimeStamps!$A:$A=$B11)*ISNUMBER(SEARCH(F$2, VideoTimeStamps!$E:$E)), 0), 0)), ""))</f>
        <v/>
      </c>
      <c r="G11" s="3" t="str">
        <f t="array" ref="G11">IF(OR($B11="", G$2=""), "", IFERROR(INDEX(VideoTimeStamps!$C:$C, MATCH(1, INDEX((VideoTimeStamps!$A:$A=$B11)*ISNUMBER(SEARCH(G$2, VideoTimeStamps!$E:$E)), 0), 0)), ""))</f>
        <v/>
      </c>
      <c r="H11" s="3" t="str">
        <f t="array" ref="H11">IF(OR($B11="", H$2=""), "", IFERROR(INDEX(VideoTimeStamps!$C:$C, MATCH(1, INDEX((VideoTimeStamps!$A:$A=$B11)*ISNUMBER(SEARCH(H$2, VideoTimeStamps!$E:$E)), 0), 0)), ""))</f>
        <v/>
      </c>
      <c r="I11" s="3" t="str">
        <f t="array" ref="I11">IF(OR($B11="", I$2=""), "", IFERROR(INDEX(VideoTimeStamps!$C:$C, MATCH(1, INDEX((VideoTimeStamps!$A:$A=$B11)*ISNUMBER(SEARCH(I$2, VideoTimeStamps!$E:$E)), 0), 0)), ""))</f>
        <v/>
      </c>
      <c r="J11" s="3" t="str">
        <f t="array" ref="J11">IF(OR($B11="", J$2=""), "", IFERROR(INDEX(VideoTimeStamps!$C:$C, MATCH(1, INDEX((VideoTimeStamps!$A:$A=$B11)*ISNUMBER(SEARCH(J$2, VideoTimeStamps!$E:$E)), 0), 0)), ""))</f>
        <v/>
      </c>
      <c r="K11" s="3" t="str">
        <f t="array" ref="K11">IF(OR($B11="", K$2=""), "", IFERROR(INDEX(VideoTimeStamps!$C:$C, MATCH(1, INDEX((VideoTimeStamps!$A:$A=$B11)*ISNUMBER(SEARCH(K$2, VideoTimeStamps!$E:$E)), 0), 0)), ""))</f>
        <v/>
      </c>
      <c r="L11" s="3" t="str">
        <f t="array" ref="L11">IF(OR($B11="", L$2=""), "", IFERROR(INDEX(VideoTimeStamps!$C:$C, MATCH(1, INDEX((VideoTimeStamps!$A:$A=$B11)*ISNUMBER(SEARCH(L$2, VideoTimeStamps!$E:$E)), 0), 0)), ""))</f>
        <v/>
      </c>
      <c r="M11" s="3" t="str">
        <f t="array" ref="M11">IF(OR($B11="", M$2=""), "", IFERROR(INDEX(VideoTimeStamps!$C:$C, MATCH(1, INDEX((VideoTimeStamps!$A:$A=$B11)*ISNUMBER(SEARCH(M$2, VideoTimeStamps!$E:$E)), 0), 0)), ""))</f>
        <v/>
      </c>
      <c r="N11" s="3" t="str">
        <f t="array" ref="N11">IF(OR($B11="", N$2=""), "", IFERROR(INDEX(VideoTimeStamps!$C:$C, MATCH(1, INDEX((VideoTimeStamps!$A:$A=$B11)*ISNUMBER(SEARCH(N$2, VideoTimeStamps!$E:$E)), 0), 0)), ""))</f>
        <v/>
      </c>
      <c r="O11" s="3" t="str">
        <f t="array" ref="O11">IF(OR($B11="", O$2=""), "", IFERROR(INDEX(VideoTimeStamps!$C:$C, MATCH(1, INDEX((VideoTimeStamps!$A:$A=$B11)*ISNUMBER(SEARCH(O$2, VideoTimeStamps!$E:$E)), 0), 0)), ""))</f>
        <v/>
      </c>
      <c r="P11" s="3" t="str">
        <f t="array" ref="P11">IF(OR($B11="", P$2=""), "", IFERROR(INDEX(VideoTimeStamps!$C:$C, MATCH(1, INDEX((VideoTimeStamps!$A:$A=$B11)*ISNUMBER(SEARCH(P$2, VideoTimeStamps!$E:$E)), 0), 0)), ""))</f>
        <v/>
      </c>
      <c r="Q11" s="3" t="str">
        <f t="array" ref="Q11">IF(OR($B11="", Q$2=""), "", IFERROR(INDEX(VideoTimeStamps!$C:$C, MATCH(1, INDEX((VideoTimeStamps!$A:$A=$B11)*ISNUMBER(SEARCH(Q$2, VideoTimeStamps!$E:$E)), 0), 0)), ""))</f>
        <v/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 t="b">
        <v>0</v>
      </c>
      <c r="B12" s="3" t="str">
        <f>IFERROR(__xludf.DUMMYFUNCTION("""COMPUTED_VALUE"""),"Caca Mama")</f>
        <v>Caca Mama</v>
      </c>
      <c r="C12" s="9"/>
      <c r="D12" s="3" t="str">
        <f t="array" ref="D12">IF(OR($B12="", D$2=""), "", IFERROR(INDEX(VideoTimeStamps!$C:$C, MATCH(1, INDEX((VideoTimeStamps!$A:$A=$B12)*ISNUMBER(SEARCH(D$2, VideoTimeStamps!$E:$E)), 0), 0)), ""))</f>
        <v/>
      </c>
      <c r="E12" s="3" t="str">
        <f t="array" ref="E12">IF(OR($B12="", E$2=""), "", IFERROR(INDEX(VideoTimeStamps!$C:$C, MATCH(1, INDEX((VideoTimeStamps!$A:$A=$B12)*ISNUMBER(SEARCH(E$2, VideoTimeStamps!$E:$E)), 0), 0)), ""))</f>
        <v/>
      </c>
      <c r="F12" s="3" t="str">
        <f t="array" ref="F12">IF(OR($B12="", F$2=""), "", IFERROR(INDEX(VideoTimeStamps!$C:$C, MATCH(1, INDEX((VideoTimeStamps!$A:$A=$B12)*ISNUMBER(SEARCH(F$2, VideoTimeStamps!$E:$E)), 0), 0)), ""))</f>
        <v/>
      </c>
      <c r="G12" s="3" t="str">
        <f t="array" ref="G12">IF(OR($B12="", G$2=""), "", IFERROR(INDEX(VideoTimeStamps!$C:$C, MATCH(1, INDEX((VideoTimeStamps!$A:$A=$B12)*ISNUMBER(SEARCH(G$2, VideoTimeStamps!$E:$E)), 0), 0)), ""))</f>
        <v/>
      </c>
      <c r="H12" s="3" t="str">
        <f t="array" ref="H12">IF(OR($B12="", H$2=""), "", IFERROR(INDEX(VideoTimeStamps!$C:$C, MATCH(1, INDEX((VideoTimeStamps!$A:$A=$B12)*ISNUMBER(SEARCH(H$2, VideoTimeStamps!$E:$E)), 0), 0)), ""))</f>
        <v/>
      </c>
      <c r="I12" s="3" t="str">
        <f t="array" ref="I12">IF(OR($B12="", I$2=""), "", IFERROR(INDEX(VideoTimeStamps!$C:$C, MATCH(1, INDEX((VideoTimeStamps!$A:$A=$B12)*ISNUMBER(SEARCH(I$2, VideoTimeStamps!$E:$E)), 0), 0)), ""))</f>
        <v/>
      </c>
      <c r="J12" s="3" t="str">
        <f t="array" ref="J12">IF(OR($B12="", J$2=""), "", IFERROR(INDEX(VideoTimeStamps!$C:$C, MATCH(1, INDEX((VideoTimeStamps!$A:$A=$B12)*ISNUMBER(SEARCH(J$2, VideoTimeStamps!$E:$E)), 0), 0)), ""))</f>
        <v/>
      </c>
      <c r="K12" s="3" t="str">
        <f t="array" ref="K12">IF(OR($B12="", K$2=""), "", IFERROR(INDEX(VideoTimeStamps!$C:$C, MATCH(1, INDEX((VideoTimeStamps!$A:$A=$B12)*ISNUMBER(SEARCH(K$2, VideoTimeStamps!$E:$E)), 0), 0)), ""))</f>
        <v/>
      </c>
      <c r="L12" s="3" t="str">
        <f t="array" ref="L12">IF(OR($B12="", L$2=""), "", IFERROR(INDEX(VideoTimeStamps!$C:$C, MATCH(1, INDEX((VideoTimeStamps!$A:$A=$B12)*ISNUMBER(SEARCH(L$2, VideoTimeStamps!$E:$E)), 0), 0)), ""))</f>
        <v/>
      </c>
      <c r="M12" s="3" t="str">
        <f t="array" ref="M12">IF(OR($B12="", M$2=""), "", IFERROR(INDEX(VideoTimeStamps!$C:$C, MATCH(1, INDEX((VideoTimeStamps!$A:$A=$B12)*ISNUMBER(SEARCH(M$2, VideoTimeStamps!$E:$E)), 0), 0)), ""))</f>
        <v/>
      </c>
      <c r="N12" s="3" t="str">
        <f t="array" ref="N12">IF(OR($B12="", N$2=""), "", IFERROR(INDEX(VideoTimeStamps!$C:$C, MATCH(1, INDEX((VideoTimeStamps!$A:$A=$B12)*ISNUMBER(SEARCH(N$2, VideoTimeStamps!$E:$E)), 0), 0)), ""))</f>
        <v/>
      </c>
      <c r="O12" s="3" t="str">
        <f t="array" ref="O12">IF(OR($B12="", O$2=""), "", IFERROR(INDEX(VideoTimeStamps!$C:$C, MATCH(1, INDEX((VideoTimeStamps!$A:$A=$B12)*ISNUMBER(SEARCH(O$2, VideoTimeStamps!$E:$E)), 0), 0)), ""))</f>
        <v/>
      </c>
      <c r="P12" s="3" t="str">
        <f t="array" ref="P12">IF(OR($B12="", P$2=""), "", IFERROR(INDEX(VideoTimeStamps!$C:$C, MATCH(1, INDEX((VideoTimeStamps!$A:$A=$B12)*ISNUMBER(SEARCH(P$2, VideoTimeStamps!$E:$E)), 0), 0)), ""))</f>
        <v/>
      </c>
      <c r="Q12" s="3" t="str">
        <f t="array" ref="Q12">IF(OR($B12="", Q$2=""), "", IFERROR(INDEX(VideoTimeStamps!$C:$C, MATCH(1, INDEX((VideoTimeStamps!$A:$A=$B12)*ISNUMBER(SEARCH(Q$2, VideoTimeStamps!$E:$E)), 0), 0)), ""))</f>
        <v/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 t="b">
        <v>0</v>
      </c>
      <c r="B13" s="3" t="str">
        <f>IFERROR(__xludf.DUMMYFUNCTION("""COMPUTED_VALUE"""),"Katie")</f>
        <v>Katie</v>
      </c>
      <c r="C13" s="9"/>
      <c r="D13" s="3" t="str">
        <f t="array" ref="D13">IF(OR($B13="", D$2=""), "", IFERROR(INDEX(VideoTimeStamps!$C:$C, MATCH(1, INDEX((VideoTimeStamps!$A:$A=$B13)*ISNUMBER(SEARCH(D$2, VideoTimeStamps!$E:$E)), 0), 0)), ""))</f>
        <v/>
      </c>
      <c r="E13" s="3" t="str">
        <f t="array" ref="E13">IF(OR($B13="", E$2=""), "", IFERROR(INDEX(VideoTimeStamps!$C:$C, MATCH(1, INDEX((VideoTimeStamps!$A:$A=$B13)*ISNUMBER(SEARCH(E$2, VideoTimeStamps!$E:$E)), 0), 0)), ""))</f>
        <v/>
      </c>
      <c r="F13" s="3" t="str">
        <f t="array" ref="F13">IF(OR($B13="", F$2=""), "", IFERROR(INDEX(VideoTimeStamps!$C:$C, MATCH(1, INDEX((VideoTimeStamps!$A:$A=$B13)*ISNUMBER(SEARCH(F$2, VideoTimeStamps!$E:$E)), 0), 0)), ""))</f>
        <v/>
      </c>
      <c r="G13" s="3" t="str">
        <f t="array" ref="G13">IF(OR($B13="", G$2=""), "", IFERROR(INDEX(VideoTimeStamps!$C:$C, MATCH(1, INDEX((VideoTimeStamps!$A:$A=$B13)*ISNUMBER(SEARCH(G$2, VideoTimeStamps!$E:$E)), 0), 0)), ""))</f>
        <v/>
      </c>
      <c r="H13" s="3" t="str">
        <f t="array" ref="H13">IF(OR($B13="", H$2=""), "", IFERROR(INDEX(VideoTimeStamps!$C:$C, MATCH(1, INDEX((VideoTimeStamps!$A:$A=$B13)*ISNUMBER(SEARCH(H$2, VideoTimeStamps!$E:$E)), 0), 0)), ""))</f>
        <v/>
      </c>
      <c r="I13" s="3" t="str">
        <f t="array" ref="I13">IF(OR($B13="", I$2=""), "", IFERROR(INDEX(VideoTimeStamps!$C:$C, MATCH(1, INDEX((VideoTimeStamps!$A:$A=$B13)*ISNUMBER(SEARCH(I$2, VideoTimeStamps!$E:$E)), 0), 0)), ""))</f>
        <v/>
      </c>
      <c r="J13" s="3" t="str">
        <f t="array" ref="J13">IF(OR($B13="", J$2=""), "", IFERROR(INDEX(VideoTimeStamps!$C:$C, MATCH(1, INDEX((VideoTimeStamps!$A:$A=$B13)*ISNUMBER(SEARCH(J$2, VideoTimeStamps!$E:$E)), 0), 0)), ""))</f>
        <v/>
      </c>
      <c r="K13" s="3" t="str">
        <f t="array" ref="K13">IF(OR($B13="", K$2=""), "", IFERROR(INDEX(VideoTimeStamps!$C:$C, MATCH(1, INDEX((VideoTimeStamps!$A:$A=$B13)*ISNUMBER(SEARCH(K$2, VideoTimeStamps!$E:$E)), 0), 0)), ""))</f>
        <v/>
      </c>
      <c r="L13" s="3" t="str">
        <f t="array" ref="L13">IF(OR($B13="", L$2=""), "", IFERROR(INDEX(VideoTimeStamps!$C:$C, MATCH(1, INDEX((VideoTimeStamps!$A:$A=$B13)*ISNUMBER(SEARCH(L$2, VideoTimeStamps!$E:$E)), 0), 0)), ""))</f>
        <v/>
      </c>
      <c r="M13" s="3" t="str">
        <f t="array" ref="M13">IF(OR($B13="", M$2=""), "", IFERROR(INDEX(VideoTimeStamps!$C:$C, MATCH(1, INDEX((VideoTimeStamps!$A:$A=$B13)*ISNUMBER(SEARCH(M$2, VideoTimeStamps!$E:$E)), 0), 0)), ""))</f>
        <v/>
      </c>
      <c r="N13" s="3" t="str">
        <f t="array" ref="N13">IF(OR($B13="", N$2=""), "", IFERROR(INDEX(VideoTimeStamps!$C:$C, MATCH(1, INDEX((VideoTimeStamps!$A:$A=$B13)*ISNUMBER(SEARCH(N$2, VideoTimeStamps!$E:$E)), 0), 0)), ""))</f>
        <v/>
      </c>
      <c r="O13" s="3" t="str">
        <f t="array" ref="O13">IF(OR($B13="", O$2=""), "", IFERROR(INDEX(VideoTimeStamps!$C:$C, MATCH(1, INDEX((VideoTimeStamps!$A:$A=$B13)*ISNUMBER(SEARCH(O$2, VideoTimeStamps!$E:$E)), 0), 0)), ""))</f>
        <v/>
      </c>
      <c r="P13" s="3" t="str">
        <f t="array" ref="P13">IF(OR($B13="", P$2=""), "", IFERROR(INDEX(VideoTimeStamps!$C:$C, MATCH(1, INDEX((VideoTimeStamps!$A:$A=$B13)*ISNUMBER(SEARCH(P$2, VideoTimeStamps!$E:$E)), 0), 0)), ""))</f>
        <v/>
      </c>
      <c r="Q13" s="3" t="str">
        <f t="array" ref="Q13">IF(OR($B13="", Q$2=""), "", IFERROR(INDEX(VideoTimeStamps!$C:$C, MATCH(1, INDEX((VideoTimeStamps!$A:$A=$B13)*ISNUMBER(SEARCH(Q$2, VideoTimeStamps!$E:$E)), 0), 0)), ""))</f>
        <v/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 t="b">
        <v>0</v>
      </c>
      <c r="B14" s="3" t="str">
        <f>IFERROR(__xludf.DUMMYFUNCTION("""COMPUTED_VALUE"""),"Kamisin")</f>
        <v>Kamisin</v>
      </c>
      <c r="C14" s="9"/>
      <c r="D14" s="3" t="str">
        <f t="array" ref="D14">IF(OR($B14="", D$2=""), "", IFERROR(INDEX(VideoTimeStamps!$C:$C, MATCH(1, INDEX((VideoTimeStamps!$A:$A=$B14)*ISNUMBER(SEARCH(D$2, VideoTimeStamps!$E:$E)), 0), 0)), ""))</f>
        <v/>
      </c>
      <c r="E14" s="3" t="str">
        <f t="array" ref="E14">IF(OR($B14="", E$2=""), "", IFERROR(INDEX(VideoTimeStamps!$C:$C, MATCH(1, INDEX((VideoTimeStamps!$A:$A=$B14)*ISNUMBER(SEARCH(E$2, VideoTimeStamps!$E:$E)), 0), 0)), ""))</f>
        <v/>
      </c>
      <c r="F14" s="3" t="str">
        <f t="array" ref="F14">IF(OR($B14="", F$2=""), "", IFERROR(INDEX(VideoTimeStamps!$C:$C, MATCH(1, INDEX((VideoTimeStamps!$A:$A=$B14)*ISNUMBER(SEARCH(F$2, VideoTimeStamps!$E:$E)), 0), 0)), ""))</f>
        <v/>
      </c>
      <c r="G14" s="3" t="str">
        <f t="array" ref="G14">IF(OR($B14="", G$2=""), "", IFERROR(INDEX(VideoTimeStamps!$C:$C, MATCH(1, INDEX((VideoTimeStamps!$A:$A=$B14)*ISNUMBER(SEARCH(G$2, VideoTimeStamps!$E:$E)), 0), 0)), ""))</f>
        <v/>
      </c>
      <c r="H14" s="3" t="str">
        <f t="array" ref="H14">IF(OR($B14="", H$2=""), "", IFERROR(INDEX(VideoTimeStamps!$C:$C, MATCH(1, INDEX((VideoTimeStamps!$A:$A=$B14)*ISNUMBER(SEARCH(H$2, VideoTimeStamps!$E:$E)), 0), 0)), ""))</f>
        <v/>
      </c>
      <c r="I14" s="3" t="str">
        <f t="array" ref="I14">IF(OR($B14="", I$2=""), "", IFERROR(INDEX(VideoTimeStamps!$C:$C, MATCH(1, INDEX((VideoTimeStamps!$A:$A=$B14)*ISNUMBER(SEARCH(I$2, VideoTimeStamps!$E:$E)), 0), 0)), ""))</f>
        <v/>
      </c>
      <c r="J14" s="3" t="str">
        <f t="array" ref="J14">IF(OR($B14="", J$2=""), "", IFERROR(INDEX(VideoTimeStamps!$C:$C, MATCH(1, INDEX((VideoTimeStamps!$A:$A=$B14)*ISNUMBER(SEARCH(J$2, VideoTimeStamps!$E:$E)), 0), 0)), ""))</f>
        <v/>
      </c>
      <c r="K14" s="3" t="str">
        <f t="array" ref="K14">IF(OR($B14="", K$2=""), "", IFERROR(INDEX(VideoTimeStamps!$C:$C, MATCH(1, INDEX((VideoTimeStamps!$A:$A=$B14)*ISNUMBER(SEARCH(K$2, VideoTimeStamps!$E:$E)), 0), 0)), ""))</f>
        <v/>
      </c>
      <c r="L14" s="3" t="str">
        <f t="array" ref="L14">IF(OR($B14="", L$2=""), "", IFERROR(INDEX(VideoTimeStamps!$C:$C, MATCH(1, INDEX((VideoTimeStamps!$A:$A=$B14)*ISNUMBER(SEARCH(L$2, VideoTimeStamps!$E:$E)), 0), 0)), ""))</f>
        <v/>
      </c>
      <c r="M14" s="3" t="str">
        <f t="array" ref="M14">IF(OR($B14="", M$2=""), "", IFERROR(INDEX(VideoTimeStamps!$C:$C, MATCH(1, INDEX((VideoTimeStamps!$A:$A=$B14)*ISNUMBER(SEARCH(M$2, VideoTimeStamps!$E:$E)), 0), 0)), ""))</f>
        <v/>
      </c>
      <c r="N14" s="3" t="str">
        <f t="array" ref="N14">IF(OR($B14="", N$2=""), "", IFERROR(INDEX(VideoTimeStamps!$C:$C, MATCH(1, INDEX((VideoTimeStamps!$A:$A=$B14)*ISNUMBER(SEARCH(N$2, VideoTimeStamps!$E:$E)), 0), 0)), ""))</f>
        <v/>
      </c>
      <c r="O14" s="3" t="str">
        <f t="array" ref="O14">IF(OR($B14="", O$2=""), "", IFERROR(INDEX(VideoTimeStamps!$C:$C, MATCH(1, INDEX((VideoTimeStamps!$A:$A=$B14)*ISNUMBER(SEARCH(O$2, VideoTimeStamps!$E:$E)), 0), 0)), ""))</f>
        <v/>
      </c>
      <c r="P14" s="3" t="str">
        <f t="array" ref="P14">IF(OR($B14="", P$2=""), "", IFERROR(INDEX(VideoTimeStamps!$C:$C, MATCH(1, INDEX((VideoTimeStamps!$A:$A=$B14)*ISNUMBER(SEARCH(P$2, VideoTimeStamps!$E:$E)), 0), 0)), ""))</f>
        <v/>
      </c>
      <c r="Q14" s="3" t="str">
        <f t="array" ref="Q14">IF(OR($B14="", Q$2=""), "", IFERROR(INDEX(VideoTimeStamps!$C:$C, MATCH(1, INDEX((VideoTimeStamps!$A:$A=$B14)*ISNUMBER(SEARCH(Q$2, VideoTimeStamps!$E:$E)), 0), 0)), ""))</f>
        <v/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 t="b">
        <v>0</v>
      </c>
      <c r="B15" s="3" t="str">
        <f>IFERROR(__xludf.DUMMYFUNCTION("""COMPUTED_VALUE"""),"Dadalam")</f>
        <v>Dadalam</v>
      </c>
      <c r="C15" s="9"/>
      <c r="D15" s="3" t="str">
        <f t="array" ref="D15">IF(OR($B15="", D$2=""), "", IFERROR(INDEX(VideoTimeStamps!$C:$C, MATCH(1, INDEX((VideoTimeStamps!$A:$A=$B15)*ISNUMBER(SEARCH(D$2, VideoTimeStamps!$E:$E)), 0), 0)), ""))</f>
        <v/>
      </c>
      <c r="E15" s="3" t="str">
        <f t="array" ref="E15">IF(OR($B15="", E$2=""), "", IFERROR(INDEX(VideoTimeStamps!$C:$C, MATCH(1, INDEX((VideoTimeStamps!$A:$A=$B15)*ISNUMBER(SEARCH(E$2, VideoTimeStamps!$E:$E)), 0), 0)), ""))</f>
        <v/>
      </c>
      <c r="F15" s="3" t="str">
        <f t="array" ref="F15">IF(OR($B15="", F$2=""), "", IFERROR(INDEX(VideoTimeStamps!$C:$C, MATCH(1, INDEX((VideoTimeStamps!$A:$A=$B15)*ISNUMBER(SEARCH(F$2, VideoTimeStamps!$E:$E)), 0), 0)), ""))</f>
        <v/>
      </c>
      <c r="G15" s="3" t="str">
        <f t="array" ref="G15">IF(OR($B15="", G$2=""), "", IFERROR(INDEX(VideoTimeStamps!$C:$C, MATCH(1, INDEX((VideoTimeStamps!$A:$A=$B15)*ISNUMBER(SEARCH(G$2, VideoTimeStamps!$E:$E)), 0), 0)), ""))</f>
        <v/>
      </c>
      <c r="H15" s="3" t="str">
        <f t="array" ref="H15">IF(OR($B15="", H$2=""), "", IFERROR(INDEX(VideoTimeStamps!$C:$C, MATCH(1, INDEX((VideoTimeStamps!$A:$A=$B15)*ISNUMBER(SEARCH(H$2, VideoTimeStamps!$E:$E)), 0), 0)), ""))</f>
        <v/>
      </c>
      <c r="I15" s="3" t="str">
        <f t="array" ref="I15">IF(OR($B15="", I$2=""), "", IFERROR(INDEX(VideoTimeStamps!$C:$C, MATCH(1, INDEX((VideoTimeStamps!$A:$A=$B15)*ISNUMBER(SEARCH(I$2, VideoTimeStamps!$E:$E)), 0), 0)), ""))</f>
        <v/>
      </c>
      <c r="J15" s="3" t="str">
        <f t="array" ref="J15">IF(OR($B15="", J$2=""), "", IFERROR(INDEX(VideoTimeStamps!$C:$C, MATCH(1, INDEX((VideoTimeStamps!$A:$A=$B15)*ISNUMBER(SEARCH(J$2, VideoTimeStamps!$E:$E)), 0), 0)), ""))</f>
        <v/>
      </c>
      <c r="K15" s="3" t="str">
        <f t="array" ref="K15">IF(OR($B15="", K$2=""), "", IFERROR(INDEX(VideoTimeStamps!$C:$C, MATCH(1, INDEX((VideoTimeStamps!$A:$A=$B15)*ISNUMBER(SEARCH(K$2, VideoTimeStamps!$E:$E)), 0), 0)), ""))</f>
        <v/>
      </c>
      <c r="L15" s="3" t="str">
        <f t="array" ref="L15">IF(OR($B15="", L$2=""), "", IFERROR(INDEX(VideoTimeStamps!$C:$C, MATCH(1, INDEX((VideoTimeStamps!$A:$A=$B15)*ISNUMBER(SEARCH(L$2, VideoTimeStamps!$E:$E)), 0), 0)), ""))</f>
        <v/>
      </c>
      <c r="M15" s="3" t="str">
        <f t="array" ref="M15">IF(OR($B15="", M$2=""), "", IFERROR(INDEX(VideoTimeStamps!$C:$C, MATCH(1, INDEX((VideoTimeStamps!$A:$A=$B15)*ISNUMBER(SEARCH(M$2, VideoTimeStamps!$E:$E)), 0), 0)), ""))</f>
        <v/>
      </c>
      <c r="N15" s="3" t="str">
        <f t="array" ref="N15">IF(OR($B15="", N$2=""), "", IFERROR(INDEX(VideoTimeStamps!$C:$C, MATCH(1, INDEX((VideoTimeStamps!$A:$A=$B15)*ISNUMBER(SEARCH(N$2, VideoTimeStamps!$E:$E)), 0), 0)), ""))</f>
        <v/>
      </c>
      <c r="O15" s="3" t="str">
        <f t="array" ref="O15">IF(OR($B15="", O$2=""), "", IFERROR(INDEX(VideoTimeStamps!$C:$C, MATCH(1, INDEX((VideoTimeStamps!$A:$A=$B15)*ISNUMBER(SEARCH(O$2, VideoTimeStamps!$E:$E)), 0), 0)), ""))</f>
        <v/>
      </c>
      <c r="P15" s="3" t="str">
        <f t="array" ref="P15">IF(OR($B15="", P$2=""), "", IFERROR(INDEX(VideoTimeStamps!$C:$C, MATCH(1, INDEX((VideoTimeStamps!$A:$A=$B15)*ISNUMBER(SEARCH(P$2, VideoTimeStamps!$E:$E)), 0), 0)), ""))</f>
        <v/>
      </c>
      <c r="Q15" s="3" t="str">
        <f t="array" ref="Q15">IF(OR($B15="", Q$2=""), "", IFERROR(INDEX(VideoTimeStamps!$C:$C, MATCH(1, INDEX((VideoTimeStamps!$A:$A=$B15)*ISNUMBER(SEARCH(Q$2, VideoTimeStamps!$E:$E)), 0), 0)), ""))</f>
        <v/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 t="b">
        <v>0</v>
      </c>
      <c r="B16" s="3" t="str">
        <f>IFERROR(__xludf.DUMMYFUNCTION("""COMPUTED_VALUE""")," Iamsabrinalau")</f>
        <v> Iamsabrinalau</v>
      </c>
      <c r="C16" s="9"/>
      <c r="D16" s="3" t="str">
        <f t="array" ref="D16">IF(OR($B16="", D$2=""), "", IFERROR(INDEX(VideoTimeStamps!$C:$C, MATCH(1, INDEX((VideoTimeStamps!$A:$A=$B16)*ISNUMBER(SEARCH(D$2, VideoTimeStamps!$E:$E)), 0), 0)), ""))</f>
        <v/>
      </c>
      <c r="E16" s="3" t="str">
        <f t="array" ref="E16">IF(OR($B16="", E$2=""), "", IFERROR(INDEX(VideoTimeStamps!$C:$C, MATCH(1, INDEX((VideoTimeStamps!$A:$A=$B16)*ISNUMBER(SEARCH(E$2, VideoTimeStamps!$E:$E)), 0), 0)), ""))</f>
        <v/>
      </c>
      <c r="F16" s="3" t="str">
        <f t="array" ref="F16">IF(OR($B16="", F$2=""), "", IFERROR(INDEX(VideoTimeStamps!$C:$C, MATCH(1, INDEX((VideoTimeStamps!$A:$A=$B16)*ISNUMBER(SEARCH(F$2, VideoTimeStamps!$E:$E)), 0), 0)), ""))</f>
        <v/>
      </c>
      <c r="G16" s="3" t="str">
        <f t="array" ref="G16">IF(OR($B16="", G$2=""), "", IFERROR(INDEX(VideoTimeStamps!$C:$C, MATCH(1, INDEX((VideoTimeStamps!$A:$A=$B16)*ISNUMBER(SEARCH(G$2, VideoTimeStamps!$E:$E)), 0), 0)), ""))</f>
        <v/>
      </c>
      <c r="H16" s="3" t="str">
        <f t="array" ref="H16">IF(OR($B16="", H$2=""), "", IFERROR(INDEX(VideoTimeStamps!$C:$C, MATCH(1, INDEX((VideoTimeStamps!$A:$A=$B16)*ISNUMBER(SEARCH(H$2, VideoTimeStamps!$E:$E)), 0), 0)), ""))</f>
        <v/>
      </c>
      <c r="I16" s="3" t="str">
        <f t="array" ref="I16">IF(OR($B16="", I$2=""), "", IFERROR(INDEX(VideoTimeStamps!$C:$C, MATCH(1, INDEX((VideoTimeStamps!$A:$A=$B16)*ISNUMBER(SEARCH(I$2, VideoTimeStamps!$E:$E)), 0), 0)), ""))</f>
        <v/>
      </c>
      <c r="J16" s="3" t="str">
        <f t="array" ref="J16">IF(OR($B16="", J$2=""), "", IFERROR(INDEX(VideoTimeStamps!$C:$C, MATCH(1, INDEX((VideoTimeStamps!$A:$A=$B16)*ISNUMBER(SEARCH(J$2, VideoTimeStamps!$E:$E)), 0), 0)), ""))</f>
        <v/>
      </c>
      <c r="K16" s="3" t="str">
        <f t="array" ref="K16">IF(OR($B16="", K$2=""), "", IFERROR(INDEX(VideoTimeStamps!$C:$C, MATCH(1, INDEX((VideoTimeStamps!$A:$A=$B16)*ISNUMBER(SEARCH(K$2, VideoTimeStamps!$E:$E)), 0), 0)), ""))</f>
        <v/>
      </c>
      <c r="L16" s="3" t="str">
        <f t="array" ref="L16">IF(OR($B16="", L$2=""), "", IFERROR(INDEX(VideoTimeStamps!$C:$C, MATCH(1, INDEX((VideoTimeStamps!$A:$A=$B16)*ISNUMBER(SEARCH(L$2, VideoTimeStamps!$E:$E)), 0), 0)), ""))</f>
        <v/>
      </c>
      <c r="M16" s="3" t="str">
        <f t="array" ref="M16">IF(OR($B16="", M$2=""), "", IFERROR(INDEX(VideoTimeStamps!$C:$C, MATCH(1, INDEX((VideoTimeStamps!$A:$A=$B16)*ISNUMBER(SEARCH(M$2, VideoTimeStamps!$E:$E)), 0), 0)), ""))</f>
        <v/>
      </c>
      <c r="N16" s="3" t="str">
        <f t="array" ref="N16">IF(OR($B16="", N$2=""), "", IFERROR(INDEX(VideoTimeStamps!$C:$C, MATCH(1, INDEX((VideoTimeStamps!$A:$A=$B16)*ISNUMBER(SEARCH(N$2, VideoTimeStamps!$E:$E)), 0), 0)), ""))</f>
        <v/>
      </c>
      <c r="O16" s="3" t="str">
        <f t="array" ref="O16">IF(OR($B16="", O$2=""), "", IFERROR(INDEX(VideoTimeStamps!$C:$C, MATCH(1, INDEX((VideoTimeStamps!$A:$A=$B16)*ISNUMBER(SEARCH(O$2, VideoTimeStamps!$E:$E)), 0), 0)), ""))</f>
        <v/>
      </c>
      <c r="P16" s="3" t="str">
        <f t="array" ref="P16">IF(OR($B16="", P$2=""), "", IFERROR(INDEX(VideoTimeStamps!$C:$C, MATCH(1, INDEX((VideoTimeStamps!$A:$A=$B16)*ISNUMBER(SEARCH(P$2, VideoTimeStamps!$E:$E)), 0), 0)), ""))</f>
        <v/>
      </c>
      <c r="Q16" s="3" t="str">
        <f t="array" ref="Q16">IF(OR($B16="", Q$2=""), "", IFERROR(INDEX(VideoTimeStamps!$C:$C, MATCH(1, INDEX((VideoTimeStamps!$A:$A=$B16)*ISNUMBER(SEARCH(Q$2, VideoTimeStamps!$E:$E)), 0), 0)), ""))</f>
        <v/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 t="b">
        <v>0</v>
      </c>
      <c r="B17" s="3" t="str">
        <f>IFERROR(__xludf.DUMMYFUNCTION("""COMPUTED_VALUE"""),"3pigpigpig")</f>
        <v>3pigpigpig</v>
      </c>
      <c r="C17" s="9"/>
      <c r="D17" s="3" t="str">
        <f t="array" ref="D17">IF(OR($B17="", D$2=""), "", IFERROR(INDEX(VideoTimeStamps!$C:$C, MATCH(1, INDEX((VideoTimeStamps!$A:$A=$B17)*ISNUMBER(SEARCH(D$2, VideoTimeStamps!$E:$E)), 0), 0)), ""))</f>
        <v/>
      </c>
      <c r="E17" s="3" t="str">
        <f t="array" ref="E17">IF(OR($B17="", E$2=""), "", IFERROR(INDEX(VideoTimeStamps!$C:$C, MATCH(1, INDEX((VideoTimeStamps!$A:$A=$B17)*ISNUMBER(SEARCH(E$2, VideoTimeStamps!$E:$E)), 0), 0)), ""))</f>
        <v/>
      </c>
      <c r="F17" s="3" t="str">
        <f t="array" ref="F17">IF(OR($B17="", F$2=""), "", IFERROR(INDEX(VideoTimeStamps!$C:$C, MATCH(1, INDEX((VideoTimeStamps!$A:$A=$B17)*ISNUMBER(SEARCH(F$2, VideoTimeStamps!$E:$E)), 0), 0)), ""))</f>
        <v/>
      </c>
      <c r="G17" s="3" t="str">
        <f t="array" ref="G17">IF(OR($B17="", G$2=""), "", IFERROR(INDEX(VideoTimeStamps!$C:$C, MATCH(1, INDEX((VideoTimeStamps!$A:$A=$B17)*ISNUMBER(SEARCH(G$2, VideoTimeStamps!$E:$E)), 0), 0)), ""))</f>
        <v/>
      </c>
      <c r="H17" s="3" t="str">
        <f t="array" ref="H17">IF(OR($B17="", H$2=""), "", IFERROR(INDEX(VideoTimeStamps!$C:$C, MATCH(1, INDEX((VideoTimeStamps!$A:$A=$B17)*ISNUMBER(SEARCH(H$2, VideoTimeStamps!$E:$E)), 0), 0)), ""))</f>
        <v/>
      </c>
      <c r="I17" s="3" t="str">
        <f t="array" ref="I17">IF(OR($B17="", I$2=""), "", IFERROR(INDEX(VideoTimeStamps!$C:$C, MATCH(1, INDEX((VideoTimeStamps!$A:$A=$B17)*ISNUMBER(SEARCH(I$2, VideoTimeStamps!$E:$E)), 0), 0)), ""))</f>
        <v/>
      </c>
      <c r="J17" s="3" t="str">
        <f t="array" ref="J17">IF(OR($B17="", J$2=""), "", IFERROR(INDEX(VideoTimeStamps!$C:$C, MATCH(1, INDEX((VideoTimeStamps!$A:$A=$B17)*ISNUMBER(SEARCH(J$2, VideoTimeStamps!$E:$E)), 0), 0)), ""))</f>
        <v/>
      </c>
      <c r="K17" s="3" t="str">
        <f t="array" ref="K17">IF(OR($B17="", K$2=""), "", IFERROR(INDEX(VideoTimeStamps!$C:$C, MATCH(1, INDEX((VideoTimeStamps!$A:$A=$B17)*ISNUMBER(SEARCH(K$2, VideoTimeStamps!$E:$E)), 0), 0)), ""))</f>
        <v/>
      </c>
      <c r="L17" s="3" t="str">
        <f t="array" ref="L17">IF(OR($B17="", L$2=""), "", IFERROR(INDEX(VideoTimeStamps!$C:$C, MATCH(1, INDEX((VideoTimeStamps!$A:$A=$B17)*ISNUMBER(SEARCH(L$2, VideoTimeStamps!$E:$E)), 0), 0)), ""))</f>
        <v/>
      </c>
      <c r="M17" s="3" t="str">
        <f t="array" ref="M17">IF(OR($B17="", M$2=""), "", IFERROR(INDEX(VideoTimeStamps!$C:$C, MATCH(1, INDEX((VideoTimeStamps!$A:$A=$B17)*ISNUMBER(SEARCH(M$2, VideoTimeStamps!$E:$E)), 0), 0)), ""))</f>
        <v/>
      </c>
      <c r="N17" s="3" t="str">
        <f t="array" ref="N17">IF(OR($B17="", N$2=""), "", IFERROR(INDEX(VideoTimeStamps!$C:$C, MATCH(1, INDEX((VideoTimeStamps!$A:$A=$B17)*ISNUMBER(SEARCH(N$2, VideoTimeStamps!$E:$E)), 0), 0)), ""))</f>
        <v/>
      </c>
      <c r="O17" s="3" t="str">
        <f t="array" ref="O17">IF(OR($B17="", O$2=""), "", IFERROR(INDEX(VideoTimeStamps!$C:$C, MATCH(1, INDEX((VideoTimeStamps!$A:$A=$B17)*ISNUMBER(SEARCH(O$2, VideoTimeStamps!$E:$E)), 0), 0)), ""))</f>
        <v/>
      </c>
      <c r="P17" s="3" t="str">
        <f t="array" ref="P17">IF(OR($B17="", P$2=""), "", IFERROR(INDEX(VideoTimeStamps!$C:$C, MATCH(1, INDEX((VideoTimeStamps!$A:$A=$B17)*ISNUMBER(SEARCH(P$2, VideoTimeStamps!$E:$E)), 0), 0)), ""))</f>
        <v/>
      </c>
      <c r="Q17" s="3" t="str">
        <f t="array" ref="Q17">IF(OR($B17="", Q$2=""), "", IFERROR(INDEX(VideoTimeStamps!$C:$C, MATCH(1, INDEX((VideoTimeStamps!$A:$A=$B17)*ISNUMBER(SEARCH(Q$2, VideoTimeStamps!$E:$E)), 0), 0)), ""))</f>
        <v/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 t="b">
        <v>0</v>
      </c>
      <c r="B18" s="3" t="str">
        <f>IFERROR(__xludf.DUMMYFUNCTION("""COMPUTED_VALUE"""),"yanxcky")</f>
        <v>yanxcky</v>
      </c>
      <c r="C18" s="9"/>
      <c r="D18" s="3" t="str">
        <f t="array" ref="D18">IF(OR($B18="", D$2=""), "", IFERROR(INDEX(VideoTimeStamps!$C:$C, MATCH(1, INDEX((VideoTimeStamps!$A:$A=$B18)*ISNUMBER(SEARCH(D$2, VideoTimeStamps!$E:$E)), 0), 0)), ""))</f>
        <v/>
      </c>
      <c r="E18" s="3" t="str">
        <f t="array" ref="E18">IF(OR($B18="", E$2=""), "", IFERROR(INDEX(VideoTimeStamps!$C:$C, MATCH(1, INDEX((VideoTimeStamps!$A:$A=$B18)*ISNUMBER(SEARCH(E$2, VideoTimeStamps!$E:$E)), 0), 0)), ""))</f>
        <v/>
      </c>
      <c r="F18" s="3" t="str">
        <f t="array" ref="F18">IF(OR($B18="", F$2=""), "", IFERROR(INDEX(VideoTimeStamps!$C:$C, MATCH(1, INDEX((VideoTimeStamps!$A:$A=$B18)*ISNUMBER(SEARCH(F$2, VideoTimeStamps!$E:$E)), 0), 0)), ""))</f>
        <v/>
      </c>
      <c r="G18" s="3" t="str">
        <f t="array" ref="G18">IF(OR($B18="", G$2=""), "", IFERROR(INDEX(VideoTimeStamps!$C:$C, MATCH(1, INDEX((VideoTimeStamps!$A:$A=$B18)*ISNUMBER(SEARCH(G$2, VideoTimeStamps!$E:$E)), 0), 0)), ""))</f>
        <v/>
      </c>
      <c r="H18" s="3" t="str">
        <f t="array" ref="H18">IF(OR($B18="", H$2=""), "", IFERROR(INDEX(VideoTimeStamps!$C:$C, MATCH(1, INDEX((VideoTimeStamps!$A:$A=$B18)*ISNUMBER(SEARCH(H$2, VideoTimeStamps!$E:$E)), 0), 0)), ""))</f>
        <v/>
      </c>
      <c r="I18" s="3" t="str">
        <f t="array" ref="I18">IF(OR($B18="", I$2=""), "", IFERROR(INDEX(VideoTimeStamps!$C:$C, MATCH(1, INDEX((VideoTimeStamps!$A:$A=$B18)*ISNUMBER(SEARCH(I$2, VideoTimeStamps!$E:$E)), 0), 0)), ""))</f>
        <v/>
      </c>
      <c r="J18" s="3" t="str">
        <f t="array" ref="J18">IF(OR($B18="", J$2=""), "", IFERROR(INDEX(VideoTimeStamps!$C:$C, MATCH(1, INDEX((VideoTimeStamps!$A:$A=$B18)*ISNUMBER(SEARCH(J$2, VideoTimeStamps!$E:$E)), 0), 0)), ""))</f>
        <v/>
      </c>
      <c r="K18" s="3" t="str">
        <f t="array" ref="K18">IF(OR($B18="", K$2=""), "", IFERROR(INDEX(VideoTimeStamps!$C:$C, MATCH(1, INDEX((VideoTimeStamps!$A:$A=$B18)*ISNUMBER(SEARCH(K$2, VideoTimeStamps!$E:$E)), 0), 0)), ""))</f>
        <v/>
      </c>
      <c r="L18" s="3" t="str">
        <f t="array" ref="L18">IF(OR($B18="", L$2=""), "", IFERROR(INDEX(VideoTimeStamps!$C:$C, MATCH(1, INDEX((VideoTimeStamps!$A:$A=$B18)*ISNUMBER(SEARCH(L$2, VideoTimeStamps!$E:$E)), 0), 0)), ""))</f>
        <v/>
      </c>
      <c r="M18" s="3" t="str">
        <f t="array" ref="M18">IF(OR($B18="", M$2=""), "", IFERROR(INDEX(VideoTimeStamps!$C:$C, MATCH(1, INDEX((VideoTimeStamps!$A:$A=$B18)*ISNUMBER(SEARCH(M$2, VideoTimeStamps!$E:$E)), 0), 0)), ""))</f>
        <v/>
      </c>
      <c r="N18" s="3" t="str">
        <f t="array" ref="N18">IF(OR($B18="", N$2=""), "", IFERROR(INDEX(VideoTimeStamps!$C:$C, MATCH(1, INDEX((VideoTimeStamps!$A:$A=$B18)*ISNUMBER(SEARCH(N$2, VideoTimeStamps!$E:$E)), 0), 0)), ""))</f>
        <v/>
      </c>
      <c r="O18" s="3" t="str">
        <f t="array" ref="O18">IF(OR($B18="", O$2=""), "", IFERROR(INDEX(VideoTimeStamps!$C:$C, MATCH(1, INDEX((VideoTimeStamps!$A:$A=$B18)*ISNUMBER(SEARCH(O$2, VideoTimeStamps!$E:$E)), 0), 0)), ""))</f>
        <v/>
      </c>
      <c r="P18" s="3" t="str">
        <f t="array" ref="P18">IF(OR($B18="", P$2=""), "", IFERROR(INDEX(VideoTimeStamps!$C:$C, MATCH(1, INDEX((VideoTimeStamps!$A:$A=$B18)*ISNUMBER(SEARCH(P$2, VideoTimeStamps!$E:$E)), 0), 0)), ""))</f>
        <v/>
      </c>
      <c r="Q18" s="3" t="str">
        <f t="array" ref="Q18">IF(OR($B18="", Q$2=""), "", IFERROR(INDEX(VideoTimeStamps!$C:$C, MATCH(1, INDEX((VideoTimeStamps!$A:$A=$B18)*ISNUMBER(SEARCH(Q$2, VideoTimeStamps!$E:$E)), 0), 0)), ""))</f>
        <v/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 t="b">
        <v>0</v>
      </c>
      <c r="B19" s="3" t="str">
        <f>IFERROR(__xludf.DUMMYFUNCTION("""COMPUTED_VALUE"""),"Scarlett")</f>
        <v>Scarlett</v>
      </c>
      <c r="C19" s="9"/>
      <c r="D19" s="3" t="str">
        <f t="array" ref="D19">IF(OR($B19="", D$2=""), "", IFERROR(INDEX(VideoTimeStamps!$C:$C, MATCH(1, INDEX((VideoTimeStamps!$A:$A=$B19)*ISNUMBER(SEARCH(D$2, VideoTimeStamps!$E:$E)), 0), 0)), ""))</f>
        <v/>
      </c>
      <c r="E19" s="3" t="str">
        <f t="array" ref="E19">IF(OR($B19="", E$2=""), "", IFERROR(INDEX(VideoTimeStamps!$C:$C, MATCH(1, INDEX((VideoTimeStamps!$A:$A=$B19)*ISNUMBER(SEARCH(E$2, VideoTimeStamps!$E:$E)), 0), 0)), ""))</f>
        <v/>
      </c>
      <c r="F19" s="3" t="str">
        <f t="array" ref="F19">IF(OR($B19="", F$2=""), "", IFERROR(INDEX(VideoTimeStamps!$C:$C, MATCH(1, INDEX((VideoTimeStamps!$A:$A=$B19)*ISNUMBER(SEARCH(F$2, VideoTimeStamps!$E:$E)), 0), 0)), ""))</f>
        <v/>
      </c>
      <c r="G19" s="3" t="str">
        <f t="array" ref="G19">IF(OR($B19="", G$2=""), "", IFERROR(INDEX(VideoTimeStamps!$C:$C, MATCH(1, INDEX((VideoTimeStamps!$A:$A=$B19)*ISNUMBER(SEARCH(G$2, VideoTimeStamps!$E:$E)), 0), 0)), ""))</f>
        <v/>
      </c>
      <c r="H19" s="3" t="str">
        <f t="array" ref="H19">IF(OR($B19="", H$2=""), "", IFERROR(INDEX(VideoTimeStamps!$C:$C, MATCH(1, INDEX((VideoTimeStamps!$A:$A=$B19)*ISNUMBER(SEARCH(H$2, VideoTimeStamps!$E:$E)), 0), 0)), ""))</f>
        <v/>
      </c>
      <c r="I19" s="3" t="str">
        <f t="array" ref="I19">IF(OR($B19="", I$2=""), "", IFERROR(INDEX(VideoTimeStamps!$C:$C, MATCH(1, INDEX((VideoTimeStamps!$A:$A=$B19)*ISNUMBER(SEARCH(I$2, VideoTimeStamps!$E:$E)), 0), 0)), ""))</f>
        <v/>
      </c>
      <c r="J19" s="3" t="str">
        <f t="array" ref="J19">IF(OR($B19="", J$2=""), "", IFERROR(INDEX(VideoTimeStamps!$C:$C, MATCH(1, INDEX((VideoTimeStamps!$A:$A=$B19)*ISNUMBER(SEARCH(J$2, VideoTimeStamps!$E:$E)), 0), 0)), ""))</f>
        <v/>
      </c>
      <c r="K19" s="3" t="str">
        <f t="array" ref="K19">IF(OR($B19="", K$2=""), "", IFERROR(INDEX(VideoTimeStamps!$C:$C, MATCH(1, INDEX((VideoTimeStamps!$A:$A=$B19)*ISNUMBER(SEARCH(K$2, VideoTimeStamps!$E:$E)), 0), 0)), ""))</f>
        <v/>
      </c>
      <c r="L19" s="3" t="str">
        <f t="array" ref="L19">IF(OR($B19="", L$2=""), "", IFERROR(INDEX(VideoTimeStamps!$C:$C, MATCH(1, INDEX((VideoTimeStamps!$A:$A=$B19)*ISNUMBER(SEARCH(L$2, VideoTimeStamps!$E:$E)), 0), 0)), ""))</f>
        <v/>
      </c>
      <c r="M19" s="3" t="str">
        <f t="array" ref="M19">IF(OR($B19="", M$2=""), "", IFERROR(INDEX(VideoTimeStamps!$C:$C, MATCH(1, INDEX((VideoTimeStamps!$A:$A=$B19)*ISNUMBER(SEARCH(M$2, VideoTimeStamps!$E:$E)), 0), 0)), ""))</f>
        <v/>
      </c>
      <c r="N19" s="3" t="str">
        <f t="array" ref="N19">IF(OR($B19="", N$2=""), "", IFERROR(INDEX(VideoTimeStamps!$C:$C, MATCH(1, INDEX((VideoTimeStamps!$A:$A=$B19)*ISNUMBER(SEARCH(N$2, VideoTimeStamps!$E:$E)), 0), 0)), ""))</f>
        <v/>
      </c>
      <c r="O19" s="3" t="str">
        <f t="array" ref="O19">IF(OR($B19="", O$2=""), "", IFERROR(INDEX(VideoTimeStamps!$C:$C, MATCH(1, INDEX((VideoTimeStamps!$A:$A=$B19)*ISNUMBER(SEARCH(O$2, VideoTimeStamps!$E:$E)), 0), 0)), ""))</f>
        <v/>
      </c>
      <c r="P19" s="3" t="str">
        <f t="array" ref="P19">IF(OR($B19="", P$2=""), "", IFERROR(INDEX(VideoTimeStamps!$C:$C, MATCH(1, INDEX((VideoTimeStamps!$A:$A=$B19)*ISNUMBER(SEARCH(P$2, VideoTimeStamps!$E:$E)), 0), 0)), ""))</f>
        <v/>
      </c>
      <c r="Q19" s="3" t="str">
        <f t="array" ref="Q19">IF(OR($B19="", Q$2=""), "", IFERROR(INDEX(VideoTimeStamps!$C:$C, MATCH(1, INDEX((VideoTimeStamps!$A:$A=$B19)*ISNUMBER(SEARCH(Q$2, VideoTimeStamps!$E:$E)), 0), 0)), ""))</f>
        <v/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 t="b">
        <v>0</v>
      </c>
      <c r="B20" s="3" t="str">
        <f>IFERROR(__xludf.DUMMYFUNCTION("""COMPUTED_VALUE"""),"Yeung3kids")</f>
        <v>Yeung3kids</v>
      </c>
      <c r="C20" s="9"/>
      <c r="D20" s="3" t="str">
        <f t="array" ref="D20">IF(OR($B20="", D$2=""), "", IFERROR(INDEX(VideoTimeStamps!$C:$C, MATCH(1, INDEX((VideoTimeStamps!$A:$A=$B20)*ISNUMBER(SEARCH(D$2, VideoTimeStamps!$E:$E)), 0), 0)), ""))</f>
        <v/>
      </c>
      <c r="E20" s="3" t="str">
        <f t="array" ref="E20">IF(OR($B20="", E$2=""), "", IFERROR(INDEX(VideoTimeStamps!$C:$C, MATCH(1, INDEX((VideoTimeStamps!$A:$A=$B20)*ISNUMBER(SEARCH(E$2, VideoTimeStamps!$E:$E)), 0), 0)), ""))</f>
        <v/>
      </c>
      <c r="F20" s="3" t="str">
        <f t="array" ref="F20">IF(OR($B20="", F$2=""), "", IFERROR(INDEX(VideoTimeStamps!$C:$C, MATCH(1, INDEX((VideoTimeStamps!$A:$A=$B20)*ISNUMBER(SEARCH(F$2, VideoTimeStamps!$E:$E)), 0), 0)), ""))</f>
        <v/>
      </c>
      <c r="G20" s="3" t="str">
        <f t="array" ref="G20">IF(OR($B20="", G$2=""), "", IFERROR(INDEX(VideoTimeStamps!$C:$C, MATCH(1, INDEX((VideoTimeStamps!$A:$A=$B20)*ISNUMBER(SEARCH(G$2, VideoTimeStamps!$E:$E)), 0), 0)), ""))</f>
        <v/>
      </c>
      <c r="H20" s="3" t="str">
        <f t="array" ref="H20">IF(OR($B20="", H$2=""), "", IFERROR(INDEX(VideoTimeStamps!$C:$C, MATCH(1, INDEX((VideoTimeStamps!$A:$A=$B20)*ISNUMBER(SEARCH(H$2, VideoTimeStamps!$E:$E)), 0), 0)), ""))</f>
        <v/>
      </c>
      <c r="I20" s="3" t="str">
        <f t="array" ref="I20">IF(OR($B20="", I$2=""), "", IFERROR(INDEX(VideoTimeStamps!$C:$C, MATCH(1, INDEX((VideoTimeStamps!$A:$A=$B20)*ISNUMBER(SEARCH(I$2, VideoTimeStamps!$E:$E)), 0), 0)), ""))</f>
        <v/>
      </c>
      <c r="J20" s="3" t="str">
        <f t="array" ref="J20">IF(OR($B20="", J$2=""), "", IFERROR(INDEX(VideoTimeStamps!$C:$C, MATCH(1, INDEX((VideoTimeStamps!$A:$A=$B20)*ISNUMBER(SEARCH(J$2, VideoTimeStamps!$E:$E)), 0), 0)), ""))</f>
        <v/>
      </c>
      <c r="K20" s="3" t="str">
        <f t="array" ref="K20">IF(OR($B20="", K$2=""), "", IFERROR(INDEX(VideoTimeStamps!$C:$C, MATCH(1, INDEX((VideoTimeStamps!$A:$A=$B20)*ISNUMBER(SEARCH(K$2, VideoTimeStamps!$E:$E)), 0), 0)), ""))</f>
        <v/>
      </c>
      <c r="L20" s="3" t="str">
        <f t="array" ref="L20">IF(OR($B20="", L$2=""), "", IFERROR(INDEX(VideoTimeStamps!$C:$C, MATCH(1, INDEX((VideoTimeStamps!$A:$A=$B20)*ISNUMBER(SEARCH(L$2, VideoTimeStamps!$E:$E)), 0), 0)), ""))</f>
        <v/>
      </c>
      <c r="M20" s="3" t="str">
        <f t="array" ref="M20">IF(OR($B20="", M$2=""), "", IFERROR(INDEX(VideoTimeStamps!$C:$C, MATCH(1, INDEX((VideoTimeStamps!$A:$A=$B20)*ISNUMBER(SEARCH(M$2, VideoTimeStamps!$E:$E)), 0), 0)), ""))</f>
        <v/>
      </c>
      <c r="N20" s="3" t="str">
        <f t="array" ref="N20">IF(OR($B20="", N$2=""), "", IFERROR(INDEX(VideoTimeStamps!$C:$C, MATCH(1, INDEX((VideoTimeStamps!$A:$A=$B20)*ISNUMBER(SEARCH(N$2, VideoTimeStamps!$E:$E)), 0), 0)), ""))</f>
        <v/>
      </c>
      <c r="O20" s="3" t="str">
        <f t="array" ref="O20">IF(OR($B20="", O$2=""), "", IFERROR(INDEX(VideoTimeStamps!$C:$C, MATCH(1, INDEX((VideoTimeStamps!$A:$A=$B20)*ISNUMBER(SEARCH(O$2, VideoTimeStamps!$E:$E)), 0), 0)), ""))</f>
        <v/>
      </c>
      <c r="P20" s="3" t="str">
        <f t="array" ref="P20">IF(OR($B20="", P$2=""), "", IFERROR(INDEX(VideoTimeStamps!$C:$C, MATCH(1, INDEX((VideoTimeStamps!$A:$A=$B20)*ISNUMBER(SEARCH(P$2, VideoTimeStamps!$E:$E)), 0), 0)), ""))</f>
        <v/>
      </c>
      <c r="Q20" s="3" t="str">
        <f t="array" ref="Q20">IF(OR($B20="", Q$2=""), "", IFERROR(INDEX(VideoTimeStamps!$C:$C, MATCH(1, INDEX((VideoTimeStamps!$A:$A=$B20)*ISNUMBER(SEARCH(Q$2, VideoTimeStamps!$E:$E)), 0), 0)), ""))</f>
        <v/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 t="b">
        <v>0</v>
      </c>
      <c r="B21" s="3" t="str">
        <f>IFERROR(__xludf.DUMMYFUNCTION("""COMPUTED_VALUE"""),"Chan")</f>
        <v>Chan</v>
      </c>
      <c r="C21" s="9"/>
      <c r="D21" s="3" t="str">
        <f t="array" ref="D21">IF(OR($B21="", D$2=""), "", IFERROR(INDEX(VideoTimeStamps!$C:$C, MATCH(1, INDEX((VideoTimeStamps!$A:$A=$B21)*ISNUMBER(SEARCH(D$2, VideoTimeStamps!$E:$E)), 0), 0)), ""))</f>
        <v/>
      </c>
      <c r="E21" s="3" t="str">
        <f t="array" ref="E21">IF(OR($B21="", E$2=""), "", IFERROR(INDEX(VideoTimeStamps!$C:$C, MATCH(1, INDEX((VideoTimeStamps!$A:$A=$B21)*ISNUMBER(SEARCH(E$2, VideoTimeStamps!$E:$E)), 0), 0)), ""))</f>
        <v/>
      </c>
      <c r="F21" s="3" t="str">
        <f t="array" ref="F21">IF(OR($B21="", F$2=""), "", IFERROR(INDEX(VideoTimeStamps!$C:$C, MATCH(1, INDEX((VideoTimeStamps!$A:$A=$B21)*ISNUMBER(SEARCH(F$2, VideoTimeStamps!$E:$E)), 0), 0)), ""))</f>
        <v/>
      </c>
      <c r="G21" s="3" t="str">
        <f t="array" ref="G21">IF(OR($B21="", G$2=""), "", IFERROR(INDEX(VideoTimeStamps!$C:$C, MATCH(1, INDEX((VideoTimeStamps!$A:$A=$B21)*ISNUMBER(SEARCH(G$2, VideoTimeStamps!$E:$E)), 0), 0)), ""))</f>
        <v/>
      </c>
      <c r="H21" s="3" t="str">
        <f t="array" ref="H21">IF(OR($B21="", H$2=""), "", IFERROR(INDEX(VideoTimeStamps!$C:$C, MATCH(1, INDEX((VideoTimeStamps!$A:$A=$B21)*ISNUMBER(SEARCH(H$2, VideoTimeStamps!$E:$E)), 0), 0)), ""))</f>
        <v/>
      </c>
      <c r="I21" s="3" t="str">
        <f t="array" ref="I21">IF(OR($B21="", I$2=""), "", IFERROR(INDEX(VideoTimeStamps!$C:$C, MATCH(1, INDEX((VideoTimeStamps!$A:$A=$B21)*ISNUMBER(SEARCH(I$2, VideoTimeStamps!$E:$E)), 0), 0)), ""))</f>
        <v/>
      </c>
      <c r="J21" s="3" t="str">
        <f t="array" ref="J21">IF(OR($B21="", J$2=""), "", IFERROR(INDEX(VideoTimeStamps!$C:$C, MATCH(1, INDEX((VideoTimeStamps!$A:$A=$B21)*ISNUMBER(SEARCH(J$2, VideoTimeStamps!$E:$E)), 0), 0)), ""))</f>
        <v/>
      </c>
      <c r="K21" s="3" t="str">
        <f t="array" ref="K21">IF(OR($B21="", K$2=""), "", IFERROR(INDEX(VideoTimeStamps!$C:$C, MATCH(1, INDEX((VideoTimeStamps!$A:$A=$B21)*ISNUMBER(SEARCH(K$2, VideoTimeStamps!$E:$E)), 0), 0)), ""))</f>
        <v/>
      </c>
      <c r="L21" s="3" t="str">
        <f t="array" ref="L21">IF(OR($B21="", L$2=""), "", IFERROR(INDEX(VideoTimeStamps!$C:$C, MATCH(1, INDEX((VideoTimeStamps!$A:$A=$B21)*ISNUMBER(SEARCH(L$2, VideoTimeStamps!$E:$E)), 0), 0)), ""))</f>
        <v/>
      </c>
      <c r="M21" s="3" t="str">
        <f t="array" ref="M21">IF(OR($B21="", M$2=""), "", IFERROR(INDEX(VideoTimeStamps!$C:$C, MATCH(1, INDEX((VideoTimeStamps!$A:$A=$B21)*ISNUMBER(SEARCH(M$2, VideoTimeStamps!$E:$E)), 0), 0)), ""))</f>
        <v/>
      </c>
      <c r="N21" s="3" t="str">
        <f t="array" ref="N21">IF(OR($B21="", N$2=""), "", IFERROR(INDEX(VideoTimeStamps!$C:$C, MATCH(1, INDEX((VideoTimeStamps!$A:$A=$B21)*ISNUMBER(SEARCH(N$2, VideoTimeStamps!$E:$E)), 0), 0)), ""))</f>
        <v/>
      </c>
      <c r="O21" s="3" t="str">
        <f t="array" ref="O21">IF(OR($B21="", O$2=""), "", IFERROR(INDEX(VideoTimeStamps!$C:$C, MATCH(1, INDEX((VideoTimeStamps!$A:$A=$B21)*ISNUMBER(SEARCH(O$2, VideoTimeStamps!$E:$E)), 0), 0)), ""))</f>
        <v/>
      </c>
      <c r="P21" s="3" t="str">
        <f t="array" ref="P21">IF(OR($B21="", P$2=""), "", IFERROR(INDEX(VideoTimeStamps!$C:$C, MATCH(1, INDEX((VideoTimeStamps!$A:$A=$B21)*ISNUMBER(SEARCH(P$2, VideoTimeStamps!$E:$E)), 0), 0)), ""))</f>
        <v/>
      </c>
      <c r="Q21" s="3" t="str">
        <f t="array" ref="Q21">IF(OR($B21="", Q$2=""), "", IFERROR(INDEX(VideoTimeStamps!$C:$C, MATCH(1, INDEX((VideoTimeStamps!$A:$A=$B21)*ISNUMBER(SEARCH(Q$2, VideoTimeStamps!$E:$E)), 0), 0)), ""))</f>
        <v/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 t="b">
        <v>0</v>
      </c>
      <c r="B22" s="3"/>
      <c r="C22" s="9"/>
      <c r="D22" s="3" t="str">
        <f t="array" ref="D22">IF(OR($B22="", D$2=""), "", IFERROR(INDEX(VideoTimeStamps!$C:$C, MATCH(1, INDEX((VideoTimeStamps!$A:$A=$B22)*ISNUMBER(SEARCH(D$2, VideoTimeStamps!$E:$E)), 0), 0)), ""))</f>
        <v/>
      </c>
      <c r="E22" s="3" t="str">
        <f t="array" ref="E22">IF(OR($B22="", E$2=""), "", IFERROR(INDEX(VideoTimeStamps!$C:$C, MATCH(1, INDEX((VideoTimeStamps!$A:$A=$B22)*ISNUMBER(SEARCH(E$2, VideoTimeStamps!$E:$E)), 0), 0)), ""))</f>
        <v/>
      </c>
      <c r="F22" s="3" t="str">
        <f t="array" ref="F22">IF(OR($B22="", F$2=""), "", IFERROR(INDEX(VideoTimeStamps!$C:$C, MATCH(1, INDEX((VideoTimeStamps!$A:$A=$B22)*ISNUMBER(SEARCH(F$2, VideoTimeStamps!$E:$E)), 0), 0)), ""))</f>
        <v/>
      </c>
      <c r="G22" s="3" t="str">
        <f t="array" ref="G22">IF(OR($B22="", G$2=""), "", IFERROR(INDEX(VideoTimeStamps!$C:$C, MATCH(1, INDEX((VideoTimeStamps!$A:$A=$B22)*ISNUMBER(SEARCH(G$2, VideoTimeStamps!$E:$E)), 0), 0)), ""))</f>
        <v/>
      </c>
      <c r="H22" s="3" t="str">
        <f t="array" ref="H22">IF(OR($B22="", H$2=""), "", IFERROR(INDEX(VideoTimeStamps!$C:$C, MATCH(1, INDEX((VideoTimeStamps!$A:$A=$B22)*ISNUMBER(SEARCH(H$2, VideoTimeStamps!$E:$E)), 0), 0)), ""))</f>
        <v/>
      </c>
      <c r="I22" s="3" t="str">
        <f t="array" ref="I22">IF(OR($B22="", I$2=""), "", IFERROR(INDEX(VideoTimeStamps!$C:$C, MATCH(1, INDEX((VideoTimeStamps!$A:$A=$B22)*ISNUMBER(SEARCH(I$2, VideoTimeStamps!$E:$E)), 0), 0)), ""))</f>
        <v/>
      </c>
      <c r="J22" s="3" t="str">
        <f t="array" ref="J22">IF(OR($B22="", J$2=""), "", IFERROR(INDEX(VideoTimeStamps!$C:$C, MATCH(1, INDEX((VideoTimeStamps!$A:$A=$B22)*ISNUMBER(SEARCH(J$2, VideoTimeStamps!$E:$E)), 0), 0)), ""))</f>
        <v/>
      </c>
      <c r="K22" s="3" t="str">
        <f t="array" ref="K22">IF(OR($B22="", K$2=""), "", IFERROR(INDEX(VideoTimeStamps!$C:$C, MATCH(1, INDEX((VideoTimeStamps!$A:$A=$B22)*ISNUMBER(SEARCH(K$2, VideoTimeStamps!$E:$E)), 0), 0)), ""))</f>
        <v/>
      </c>
      <c r="L22" s="3" t="str">
        <f t="array" ref="L22">IF(OR($B22="", L$2=""), "", IFERROR(INDEX(VideoTimeStamps!$C:$C, MATCH(1, INDEX((VideoTimeStamps!$A:$A=$B22)*ISNUMBER(SEARCH(L$2, VideoTimeStamps!$E:$E)), 0), 0)), ""))</f>
        <v/>
      </c>
      <c r="M22" s="3" t="str">
        <f t="array" ref="M22">IF(OR($B22="", M$2=""), "", IFERROR(INDEX(VideoTimeStamps!$C:$C, MATCH(1, INDEX((VideoTimeStamps!$A:$A=$B22)*ISNUMBER(SEARCH(M$2, VideoTimeStamps!$E:$E)), 0), 0)), ""))</f>
        <v/>
      </c>
      <c r="N22" s="3" t="str">
        <f t="array" ref="N22">IF(OR($B22="", N$2=""), "", IFERROR(INDEX(VideoTimeStamps!$C:$C, MATCH(1, INDEX((VideoTimeStamps!$A:$A=$B22)*ISNUMBER(SEARCH(N$2, VideoTimeStamps!$E:$E)), 0), 0)), ""))</f>
        <v/>
      </c>
      <c r="O22" s="3" t="str">
        <f t="array" ref="O22">IF(OR($B22="", O$2=""), "", IFERROR(INDEX(VideoTimeStamps!$C:$C, MATCH(1, INDEX((VideoTimeStamps!$A:$A=$B22)*ISNUMBER(SEARCH(O$2, VideoTimeStamps!$E:$E)), 0), 0)), ""))</f>
        <v/>
      </c>
      <c r="P22" s="3" t="str">
        <f t="array" ref="P22">IF(OR($B22="", P$2=""), "", IFERROR(INDEX(VideoTimeStamps!$C:$C, MATCH(1, INDEX((VideoTimeStamps!$A:$A=$B22)*ISNUMBER(SEARCH(P$2, VideoTimeStamps!$E:$E)), 0), 0)), ""))</f>
        <v/>
      </c>
      <c r="Q22" s="3" t="str">
        <f t="array" ref="Q22">IF(OR($B22="", Q$2=""), "", IFERROR(INDEX(VideoTimeStamps!$C:$C, MATCH(1, INDEX((VideoTimeStamps!$A:$A=$B22)*ISNUMBER(SEARCH(Q$2, VideoTimeStamps!$E:$E)), 0), 0)), ""))</f>
        <v/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 t="b">
        <v>0</v>
      </c>
      <c r="B23" s="3"/>
      <c r="C23" s="9"/>
      <c r="D23" s="3" t="str">
        <f t="array" ref="D23">IF(OR($B23="", D$2=""), "", IFERROR(INDEX(VideoTimeStamps!$C:$C, MATCH(1, INDEX((VideoTimeStamps!$A:$A=$B23)*ISNUMBER(SEARCH(D$2, VideoTimeStamps!$E:$E)), 0), 0)), ""))</f>
        <v/>
      </c>
      <c r="E23" s="3" t="str">
        <f t="array" ref="E23">IF(OR($B23="", E$2=""), "", IFERROR(INDEX(VideoTimeStamps!$C:$C, MATCH(1, INDEX((VideoTimeStamps!$A:$A=$B23)*ISNUMBER(SEARCH(E$2, VideoTimeStamps!$E:$E)), 0), 0)), ""))</f>
        <v/>
      </c>
      <c r="F23" s="3" t="str">
        <f t="array" ref="F23">IF(OR($B23="", F$2=""), "", IFERROR(INDEX(VideoTimeStamps!$C:$C, MATCH(1, INDEX((VideoTimeStamps!$A:$A=$B23)*ISNUMBER(SEARCH(F$2, VideoTimeStamps!$E:$E)), 0), 0)), ""))</f>
        <v/>
      </c>
      <c r="G23" s="3" t="str">
        <f t="array" ref="G23">IF(OR($B23="", G$2=""), "", IFERROR(INDEX(VideoTimeStamps!$C:$C, MATCH(1, INDEX((VideoTimeStamps!$A:$A=$B23)*ISNUMBER(SEARCH(G$2, VideoTimeStamps!$E:$E)), 0), 0)), ""))</f>
        <v/>
      </c>
      <c r="H23" s="3" t="str">
        <f t="array" ref="H23">IF(OR($B23="", H$2=""), "", IFERROR(INDEX(VideoTimeStamps!$C:$C, MATCH(1, INDEX((VideoTimeStamps!$A:$A=$B23)*ISNUMBER(SEARCH(H$2, VideoTimeStamps!$E:$E)), 0), 0)), ""))</f>
        <v/>
      </c>
      <c r="I23" s="3" t="str">
        <f t="array" ref="I23">IF(OR($B23="", I$2=""), "", IFERROR(INDEX(VideoTimeStamps!$C:$C, MATCH(1, INDEX((VideoTimeStamps!$A:$A=$B23)*ISNUMBER(SEARCH(I$2, VideoTimeStamps!$E:$E)), 0), 0)), ""))</f>
        <v/>
      </c>
      <c r="J23" s="3" t="str">
        <f t="array" ref="J23">IF(OR($B23="", J$2=""), "", IFERROR(INDEX(VideoTimeStamps!$C:$C, MATCH(1, INDEX((VideoTimeStamps!$A:$A=$B23)*ISNUMBER(SEARCH(J$2, VideoTimeStamps!$E:$E)), 0), 0)), ""))</f>
        <v/>
      </c>
      <c r="K23" s="3" t="str">
        <f t="array" ref="K23">IF(OR($B23="", K$2=""), "", IFERROR(INDEX(VideoTimeStamps!$C:$C, MATCH(1, INDEX((VideoTimeStamps!$A:$A=$B23)*ISNUMBER(SEARCH(K$2, VideoTimeStamps!$E:$E)), 0), 0)), ""))</f>
        <v/>
      </c>
      <c r="L23" s="3" t="str">
        <f t="array" ref="L23">IF(OR($B23="", L$2=""), "", IFERROR(INDEX(VideoTimeStamps!$C:$C, MATCH(1, INDEX((VideoTimeStamps!$A:$A=$B23)*ISNUMBER(SEARCH(L$2, VideoTimeStamps!$E:$E)), 0), 0)), ""))</f>
        <v/>
      </c>
      <c r="M23" s="3" t="str">
        <f t="array" ref="M23">IF(OR($B23="", M$2=""), "", IFERROR(INDEX(VideoTimeStamps!$C:$C, MATCH(1, INDEX((VideoTimeStamps!$A:$A=$B23)*ISNUMBER(SEARCH(M$2, VideoTimeStamps!$E:$E)), 0), 0)), ""))</f>
        <v/>
      </c>
      <c r="N23" s="3" t="str">
        <f t="array" ref="N23">IF(OR($B23="", N$2=""), "", IFERROR(INDEX(VideoTimeStamps!$C:$C, MATCH(1, INDEX((VideoTimeStamps!$A:$A=$B23)*ISNUMBER(SEARCH(N$2, VideoTimeStamps!$E:$E)), 0), 0)), ""))</f>
        <v/>
      </c>
      <c r="O23" s="3" t="str">
        <f t="array" ref="O23">IF(OR($B23="", O$2=""), "", IFERROR(INDEX(VideoTimeStamps!$C:$C, MATCH(1, INDEX((VideoTimeStamps!$A:$A=$B23)*ISNUMBER(SEARCH(O$2, VideoTimeStamps!$E:$E)), 0), 0)), ""))</f>
        <v/>
      </c>
      <c r="P23" s="3" t="str">
        <f t="array" ref="P23">IF(OR($B23="", P$2=""), "", IFERROR(INDEX(VideoTimeStamps!$C:$C, MATCH(1, INDEX((VideoTimeStamps!$A:$A=$B23)*ISNUMBER(SEARCH(P$2, VideoTimeStamps!$E:$E)), 0), 0)), ""))</f>
        <v/>
      </c>
      <c r="Q23" s="3" t="str">
        <f t="array" ref="Q23">IF(OR($B23="", Q$2=""), "", IFERROR(INDEX(VideoTimeStamps!$C:$C, MATCH(1, INDEX((VideoTimeStamps!$A:$A=$B23)*ISNUMBER(SEARCH(Q$2, VideoTimeStamps!$E:$E)), 0), 0)), ""))</f>
        <v/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 t="b">
        <v>0</v>
      </c>
      <c r="B24" s="3"/>
      <c r="C24" s="9"/>
      <c r="D24" s="3" t="str">
        <f t="array" ref="D24">IF(OR($B24="", D$2=""), "", IFERROR(INDEX(VideoTimeStamps!$C:$C, MATCH(1, INDEX((VideoTimeStamps!$A:$A=$B24)*ISNUMBER(SEARCH(D$2, VideoTimeStamps!$E:$E)), 0), 0)), ""))</f>
        <v/>
      </c>
      <c r="E24" s="3" t="str">
        <f t="array" ref="E24">IF(OR($B24="", E$2=""), "", IFERROR(INDEX(VideoTimeStamps!$C:$C, MATCH(1, INDEX((VideoTimeStamps!$A:$A=$B24)*ISNUMBER(SEARCH(E$2, VideoTimeStamps!$E:$E)), 0), 0)), ""))</f>
        <v/>
      </c>
      <c r="F24" s="3" t="str">
        <f t="array" ref="F24">IF(OR($B24="", F$2=""), "", IFERROR(INDEX(VideoTimeStamps!$C:$C, MATCH(1, INDEX((VideoTimeStamps!$A:$A=$B24)*ISNUMBER(SEARCH(F$2, VideoTimeStamps!$E:$E)), 0), 0)), ""))</f>
        <v/>
      </c>
      <c r="G24" s="3" t="str">
        <f t="array" ref="G24">IF(OR($B24="", G$2=""), "", IFERROR(INDEX(VideoTimeStamps!$C:$C, MATCH(1, INDEX((VideoTimeStamps!$A:$A=$B24)*ISNUMBER(SEARCH(G$2, VideoTimeStamps!$E:$E)), 0), 0)), ""))</f>
        <v/>
      </c>
      <c r="H24" s="3" t="str">
        <f t="array" ref="H24">IF(OR($B24="", H$2=""), "", IFERROR(INDEX(VideoTimeStamps!$C:$C, MATCH(1, INDEX((VideoTimeStamps!$A:$A=$B24)*ISNUMBER(SEARCH(H$2, VideoTimeStamps!$E:$E)), 0), 0)), ""))</f>
        <v/>
      </c>
      <c r="I24" s="3" t="str">
        <f t="array" ref="I24">IF(OR($B24="", I$2=""), "", IFERROR(INDEX(VideoTimeStamps!$C:$C, MATCH(1, INDEX((VideoTimeStamps!$A:$A=$B24)*ISNUMBER(SEARCH(I$2, VideoTimeStamps!$E:$E)), 0), 0)), ""))</f>
        <v/>
      </c>
      <c r="J24" s="3" t="str">
        <f t="array" ref="J24">IF(OR($B24="", J$2=""), "", IFERROR(INDEX(VideoTimeStamps!$C:$C, MATCH(1, INDEX((VideoTimeStamps!$A:$A=$B24)*ISNUMBER(SEARCH(J$2, VideoTimeStamps!$E:$E)), 0), 0)), ""))</f>
        <v/>
      </c>
      <c r="K24" s="3" t="str">
        <f t="array" ref="K24">IF(OR($B24="", K$2=""), "", IFERROR(INDEX(VideoTimeStamps!$C:$C, MATCH(1, INDEX((VideoTimeStamps!$A:$A=$B24)*ISNUMBER(SEARCH(K$2, VideoTimeStamps!$E:$E)), 0), 0)), ""))</f>
        <v/>
      </c>
      <c r="L24" s="3" t="str">
        <f t="array" ref="L24">IF(OR($B24="", L$2=""), "", IFERROR(INDEX(VideoTimeStamps!$C:$C, MATCH(1, INDEX((VideoTimeStamps!$A:$A=$B24)*ISNUMBER(SEARCH(L$2, VideoTimeStamps!$E:$E)), 0), 0)), ""))</f>
        <v/>
      </c>
      <c r="M24" s="3" t="str">
        <f t="array" ref="M24">IF(OR($B24="", M$2=""), "", IFERROR(INDEX(VideoTimeStamps!$C:$C, MATCH(1, INDEX((VideoTimeStamps!$A:$A=$B24)*ISNUMBER(SEARCH(M$2, VideoTimeStamps!$E:$E)), 0), 0)), ""))</f>
        <v/>
      </c>
      <c r="N24" s="3" t="str">
        <f t="array" ref="N24">IF(OR($B24="", N$2=""), "", IFERROR(INDEX(VideoTimeStamps!$C:$C, MATCH(1, INDEX((VideoTimeStamps!$A:$A=$B24)*ISNUMBER(SEARCH(N$2, VideoTimeStamps!$E:$E)), 0), 0)), ""))</f>
        <v/>
      </c>
      <c r="O24" s="3" t="str">
        <f t="array" ref="O24">IF(OR($B24="", O$2=""), "", IFERROR(INDEX(VideoTimeStamps!$C:$C, MATCH(1, INDEX((VideoTimeStamps!$A:$A=$B24)*ISNUMBER(SEARCH(O$2, VideoTimeStamps!$E:$E)), 0), 0)), ""))</f>
        <v/>
      </c>
      <c r="P24" s="3" t="str">
        <f t="array" ref="P24">IF(OR($B24="", P$2=""), "", IFERROR(INDEX(VideoTimeStamps!$C:$C, MATCH(1, INDEX((VideoTimeStamps!$A:$A=$B24)*ISNUMBER(SEARCH(P$2, VideoTimeStamps!$E:$E)), 0), 0)), ""))</f>
        <v/>
      </c>
      <c r="Q24" s="3" t="str">
        <f t="array" ref="Q24">IF(OR($B24="", Q$2=""), "", IFERROR(INDEX(VideoTimeStamps!$C:$C, MATCH(1, INDEX((VideoTimeStamps!$A:$A=$B24)*ISNUMBER(SEARCH(Q$2, VideoTimeStamps!$E:$E)), 0), 0)), ""))</f>
        <v/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 t="b">
        <v>0</v>
      </c>
      <c r="B25" s="3"/>
      <c r="C25" s="9"/>
      <c r="D25" s="3" t="str">
        <f t="array" ref="D25">IF(OR($B25="", D$2=""), "", IFERROR(INDEX(VideoTimeStamps!$C:$C, MATCH(1, INDEX((VideoTimeStamps!$A:$A=$B25)*ISNUMBER(SEARCH(D$2, VideoTimeStamps!$E:$E)), 0), 0)), ""))</f>
        <v/>
      </c>
      <c r="E25" s="3" t="str">
        <f t="array" ref="E25">IF(OR($B25="", E$2=""), "", IFERROR(INDEX(VideoTimeStamps!$C:$C, MATCH(1, INDEX((VideoTimeStamps!$A:$A=$B25)*ISNUMBER(SEARCH(E$2, VideoTimeStamps!$E:$E)), 0), 0)), ""))</f>
        <v/>
      </c>
      <c r="F25" s="3" t="str">
        <f t="array" ref="F25">IF(OR($B25="", F$2=""), "", IFERROR(INDEX(VideoTimeStamps!$C:$C, MATCH(1, INDEX((VideoTimeStamps!$A:$A=$B25)*ISNUMBER(SEARCH(F$2, VideoTimeStamps!$E:$E)), 0), 0)), ""))</f>
        <v/>
      </c>
      <c r="G25" s="3" t="str">
        <f t="array" ref="G25">IF(OR($B25="", G$2=""), "", IFERROR(INDEX(VideoTimeStamps!$C:$C, MATCH(1, INDEX((VideoTimeStamps!$A:$A=$B25)*ISNUMBER(SEARCH(G$2, VideoTimeStamps!$E:$E)), 0), 0)), ""))</f>
        <v/>
      </c>
      <c r="H25" s="3" t="str">
        <f t="array" ref="H25">IF(OR($B25="", H$2=""), "", IFERROR(INDEX(VideoTimeStamps!$C:$C, MATCH(1, INDEX((VideoTimeStamps!$A:$A=$B25)*ISNUMBER(SEARCH(H$2, VideoTimeStamps!$E:$E)), 0), 0)), ""))</f>
        <v/>
      </c>
      <c r="I25" s="3" t="str">
        <f t="array" ref="I25">IF(OR($B25="", I$2=""), "", IFERROR(INDEX(VideoTimeStamps!$C:$C, MATCH(1, INDEX((VideoTimeStamps!$A:$A=$B25)*ISNUMBER(SEARCH(I$2, VideoTimeStamps!$E:$E)), 0), 0)), ""))</f>
        <v/>
      </c>
      <c r="J25" s="3" t="str">
        <f t="array" ref="J25">IF(OR($B25="", J$2=""), "", IFERROR(INDEX(VideoTimeStamps!$C:$C, MATCH(1, INDEX((VideoTimeStamps!$A:$A=$B25)*ISNUMBER(SEARCH(J$2, VideoTimeStamps!$E:$E)), 0), 0)), ""))</f>
        <v/>
      </c>
      <c r="K25" s="3" t="str">
        <f t="array" ref="K25">IF(OR($B25="", K$2=""), "", IFERROR(INDEX(VideoTimeStamps!$C:$C, MATCH(1, INDEX((VideoTimeStamps!$A:$A=$B25)*ISNUMBER(SEARCH(K$2, VideoTimeStamps!$E:$E)), 0), 0)), ""))</f>
        <v/>
      </c>
      <c r="L25" s="3" t="str">
        <f t="array" ref="L25">IF(OR($B25="", L$2=""), "", IFERROR(INDEX(VideoTimeStamps!$C:$C, MATCH(1, INDEX((VideoTimeStamps!$A:$A=$B25)*ISNUMBER(SEARCH(L$2, VideoTimeStamps!$E:$E)), 0), 0)), ""))</f>
        <v/>
      </c>
      <c r="M25" s="3" t="str">
        <f t="array" ref="M25">IF(OR($B25="", M$2=""), "", IFERROR(INDEX(VideoTimeStamps!$C:$C, MATCH(1, INDEX((VideoTimeStamps!$A:$A=$B25)*ISNUMBER(SEARCH(M$2, VideoTimeStamps!$E:$E)), 0), 0)), ""))</f>
        <v/>
      </c>
      <c r="N25" s="3" t="str">
        <f t="array" ref="N25">IF(OR($B25="", N$2=""), "", IFERROR(INDEX(VideoTimeStamps!$C:$C, MATCH(1, INDEX((VideoTimeStamps!$A:$A=$B25)*ISNUMBER(SEARCH(N$2, VideoTimeStamps!$E:$E)), 0), 0)), ""))</f>
        <v/>
      </c>
      <c r="O25" s="3" t="str">
        <f t="array" ref="O25">IF(OR($B25="", O$2=""), "", IFERROR(INDEX(VideoTimeStamps!$C:$C, MATCH(1, INDEX((VideoTimeStamps!$A:$A=$B25)*ISNUMBER(SEARCH(O$2, VideoTimeStamps!$E:$E)), 0), 0)), ""))</f>
        <v/>
      </c>
      <c r="P25" s="3" t="str">
        <f t="array" ref="P25">IF(OR($B25="", P$2=""), "", IFERROR(INDEX(VideoTimeStamps!$C:$C, MATCH(1, INDEX((VideoTimeStamps!$A:$A=$B25)*ISNUMBER(SEARCH(P$2, VideoTimeStamps!$E:$E)), 0), 0)), ""))</f>
        <v/>
      </c>
      <c r="Q25" s="3" t="str">
        <f t="array" ref="Q25">IF(OR($B25="", Q$2=""), "", IFERROR(INDEX(VideoTimeStamps!$C:$C, MATCH(1, INDEX((VideoTimeStamps!$A:$A=$B25)*ISNUMBER(SEARCH(Q$2, VideoTimeStamps!$E:$E)), 0), 0)), ""))</f>
        <v/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 t="b">
        <v>0</v>
      </c>
      <c r="B26" s="3"/>
      <c r="C26" s="9"/>
      <c r="D26" s="3" t="str">
        <f t="array" ref="D26">IF(OR($B26="", D$2=""), "", IFERROR(INDEX(VideoTimeStamps!$C:$C, MATCH(1, INDEX((VideoTimeStamps!$A:$A=$B26)*ISNUMBER(SEARCH(D$2, VideoTimeStamps!$E:$E)), 0), 0)), ""))</f>
        <v/>
      </c>
      <c r="E26" s="3" t="str">
        <f t="array" ref="E26">IF(OR($B26="", E$2=""), "", IFERROR(INDEX(VideoTimeStamps!$C:$C, MATCH(1, INDEX((VideoTimeStamps!$A:$A=$B26)*ISNUMBER(SEARCH(E$2, VideoTimeStamps!$E:$E)), 0), 0)), ""))</f>
        <v/>
      </c>
      <c r="F26" s="3" t="str">
        <f t="array" ref="F26">IF(OR($B26="", F$2=""), "", IFERROR(INDEX(VideoTimeStamps!$C:$C, MATCH(1, INDEX((VideoTimeStamps!$A:$A=$B26)*ISNUMBER(SEARCH(F$2, VideoTimeStamps!$E:$E)), 0), 0)), ""))</f>
        <v/>
      </c>
      <c r="G26" s="3" t="str">
        <f t="array" ref="G26">IF(OR($B26="", G$2=""), "", IFERROR(INDEX(VideoTimeStamps!$C:$C, MATCH(1, INDEX((VideoTimeStamps!$A:$A=$B26)*ISNUMBER(SEARCH(G$2, VideoTimeStamps!$E:$E)), 0), 0)), ""))</f>
        <v/>
      </c>
      <c r="H26" s="3" t="str">
        <f t="array" ref="H26">IF(OR($B26="", H$2=""), "", IFERROR(INDEX(VideoTimeStamps!$C:$C, MATCH(1, INDEX((VideoTimeStamps!$A:$A=$B26)*ISNUMBER(SEARCH(H$2, VideoTimeStamps!$E:$E)), 0), 0)), ""))</f>
        <v/>
      </c>
      <c r="I26" s="3" t="str">
        <f t="array" ref="I26">IF(OR($B26="", I$2=""), "", IFERROR(INDEX(VideoTimeStamps!$C:$C, MATCH(1, INDEX((VideoTimeStamps!$A:$A=$B26)*ISNUMBER(SEARCH(I$2, VideoTimeStamps!$E:$E)), 0), 0)), ""))</f>
        <v/>
      </c>
      <c r="J26" s="3" t="str">
        <f t="array" ref="J26">IF(OR($B26="", J$2=""), "", IFERROR(INDEX(VideoTimeStamps!$C:$C, MATCH(1, INDEX((VideoTimeStamps!$A:$A=$B26)*ISNUMBER(SEARCH(J$2, VideoTimeStamps!$E:$E)), 0), 0)), ""))</f>
        <v/>
      </c>
      <c r="K26" s="3" t="str">
        <f t="array" ref="K26">IF(OR($B26="", K$2=""), "", IFERROR(INDEX(VideoTimeStamps!$C:$C, MATCH(1, INDEX((VideoTimeStamps!$A:$A=$B26)*ISNUMBER(SEARCH(K$2, VideoTimeStamps!$E:$E)), 0), 0)), ""))</f>
        <v/>
      </c>
      <c r="L26" s="3" t="str">
        <f t="array" ref="L26">IF(OR($B26="", L$2=""), "", IFERROR(INDEX(VideoTimeStamps!$C:$C, MATCH(1, INDEX((VideoTimeStamps!$A:$A=$B26)*ISNUMBER(SEARCH(L$2, VideoTimeStamps!$E:$E)), 0), 0)), ""))</f>
        <v/>
      </c>
      <c r="M26" s="3" t="str">
        <f t="array" ref="M26">IF(OR($B26="", M$2=""), "", IFERROR(INDEX(VideoTimeStamps!$C:$C, MATCH(1, INDEX((VideoTimeStamps!$A:$A=$B26)*ISNUMBER(SEARCH(M$2, VideoTimeStamps!$E:$E)), 0), 0)), ""))</f>
        <v/>
      </c>
      <c r="N26" s="3" t="str">
        <f t="array" ref="N26">IF(OR($B26="", N$2=""), "", IFERROR(INDEX(VideoTimeStamps!$C:$C, MATCH(1, INDEX((VideoTimeStamps!$A:$A=$B26)*ISNUMBER(SEARCH(N$2, VideoTimeStamps!$E:$E)), 0), 0)), ""))</f>
        <v/>
      </c>
      <c r="O26" s="3" t="str">
        <f t="array" ref="O26">IF(OR($B26="", O$2=""), "", IFERROR(INDEX(VideoTimeStamps!$C:$C, MATCH(1, INDEX((VideoTimeStamps!$A:$A=$B26)*ISNUMBER(SEARCH(O$2, VideoTimeStamps!$E:$E)), 0), 0)), ""))</f>
        <v/>
      </c>
      <c r="P26" s="3" t="str">
        <f t="array" ref="P26">IF(OR($B26="", P$2=""), "", IFERROR(INDEX(VideoTimeStamps!$C:$C, MATCH(1, INDEX((VideoTimeStamps!$A:$A=$B26)*ISNUMBER(SEARCH(P$2, VideoTimeStamps!$E:$E)), 0), 0)), ""))</f>
        <v/>
      </c>
      <c r="Q26" s="3" t="str">
        <f t="array" ref="Q26">IF(OR($B26="", Q$2=""), "", IFERROR(INDEX(VideoTimeStamps!$C:$C, MATCH(1, INDEX((VideoTimeStamps!$A:$A=$B26)*ISNUMBER(SEARCH(Q$2, VideoTimeStamps!$E:$E)), 0), 0)), ""))</f>
        <v/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 t="b">
        <v>0</v>
      </c>
      <c r="B27" s="3"/>
      <c r="C27" s="9"/>
      <c r="D27" s="3" t="str">
        <f t="array" ref="D27">IF(OR($B27="", D$2=""), "", IFERROR(INDEX(VideoTimeStamps!$C:$C, MATCH(1, INDEX((VideoTimeStamps!$A:$A=$B27)*ISNUMBER(SEARCH(D$2, VideoTimeStamps!$E:$E)), 0), 0)), ""))</f>
        <v/>
      </c>
      <c r="E27" s="3" t="str">
        <f t="array" ref="E27">IF(OR($B27="", E$2=""), "", IFERROR(INDEX(VideoTimeStamps!$C:$C, MATCH(1, INDEX((VideoTimeStamps!$A:$A=$B27)*ISNUMBER(SEARCH(E$2, VideoTimeStamps!$E:$E)), 0), 0)), ""))</f>
        <v/>
      </c>
      <c r="F27" s="3" t="str">
        <f t="array" ref="F27">IF(OR($B27="", F$2=""), "", IFERROR(INDEX(VideoTimeStamps!$C:$C, MATCH(1, INDEX((VideoTimeStamps!$A:$A=$B27)*ISNUMBER(SEARCH(F$2, VideoTimeStamps!$E:$E)), 0), 0)), ""))</f>
        <v/>
      </c>
      <c r="G27" s="3" t="str">
        <f t="array" ref="G27">IF(OR($B27="", G$2=""), "", IFERROR(INDEX(VideoTimeStamps!$C:$C, MATCH(1, INDEX((VideoTimeStamps!$A:$A=$B27)*ISNUMBER(SEARCH(G$2, VideoTimeStamps!$E:$E)), 0), 0)), ""))</f>
        <v/>
      </c>
      <c r="H27" s="3" t="str">
        <f t="array" ref="H27">IF(OR($B27="", H$2=""), "", IFERROR(INDEX(VideoTimeStamps!$C:$C, MATCH(1, INDEX((VideoTimeStamps!$A:$A=$B27)*ISNUMBER(SEARCH(H$2, VideoTimeStamps!$E:$E)), 0), 0)), ""))</f>
        <v/>
      </c>
      <c r="I27" s="3" t="str">
        <f t="array" ref="I27">IF(OR($B27="", I$2=""), "", IFERROR(INDEX(VideoTimeStamps!$C:$C, MATCH(1, INDEX((VideoTimeStamps!$A:$A=$B27)*ISNUMBER(SEARCH(I$2, VideoTimeStamps!$E:$E)), 0), 0)), ""))</f>
        <v/>
      </c>
      <c r="J27" s="3" t="str">
        <f t="array" ref="J27">IF(OR($B27="", J$2=""), "", IFERROR(INDEX(VideoTimeStamps!$C:$C, MATCH(1, INDEX((VideoTimeStamps!$A:$A=$B27)*ISNUMBER(SEARCH(J$2, VideoTimeStamps!$E:$E)), 0), 0)), ""))</f>
        <v/>
      </c>
      <c r="K27" s="3" t="str">
        <f t="array" ref="K27">IF(OR($B27="", K$2=""), "", IFERROR(INDEX(VideoTimeStamps!$C:$C, MATCH(1, INDEX((VideoTimeStamps!$A:$A=$B27)*ISNUMBER(SEARCH(K$2, VideoTimeStamps!$E:$E)), 0), 0)), ""))</f>
        <v/>
      </c>
      <c r="L27" s="3" t="str">
        <f t="array" ref="L27">IF(OR($B27="", L$2=""), "", IFERROR(INDEX(VideoTimeStamps!$C:$C, MATCH(1, INDEX((VideoTimeStamps!$A:$A=$B27)*ISNUMBER(SEARCH(L$2, VideoTimeStamps!$E:$E)), 0), 0)), ""))</f>
        <v/>
      </c>
      <c r="M27" s="3" t="str">
        <f t="array" ref="M27">IF(OR($B27="", M$2=""), "", IFERROR(INDEX(VideoTimeStamps!$C:$C, MATCH(1, INDEX((VideoTimeStamps!$A:$A=$B27)*ISNUMBER(SEARCH(M$2, VideoTimeStamps!$E:$E)), 0), 0)), ""))</f>
        <v/>
      </c>
      <c r="N27" s="3" t="str">
        <f t="array" ref="N27">IF(OR($B27="", N$2=""), "", IFERROR(INDEX(VideoTimeStamps!$C:$C, MATCH(1, INDEX((VideoTimeStamps!$A:$A=$B27)*ISNUMBER(SEARCH(N$2, VideoTimeStamps!$E:$E)), 0), 0)), ""))</f>
        <v/>
      </c>
      <c r="O27" s="3" t="str">
        <f t="array" ref="O27">IF(OR($B27="", O$2=""), "", IFERROR(INDEX(VideoTimeStamps!$C:$C, MATCH(1, INDEX((VideoTimeStamps!$A:$A=$B27)*ISNUMBER(SEARCH(O$2, VideoTimeStamps!$E:$E)), 0), 0)), ""))</f>
        <v/>
      </c>
      <c r="P27" s="3" t="str">
        <f t="array" ref="P27">IF(OR($B27="", P$2=""), "", IFERROR(INDEX(VideoTimeStamps!$C:$C, MATCH(1, INDEX((VideoTimeStamps!$A:$A=$B27)*ISNUMBER(SEARCH(P$2, VideoTimeStamps!$E:$E)), 0), 0)), ""))</f>
        <v/>
      </c>
      <c r="Q27" s="3" t="str">
        <f t="array" ref="Q27">IF(OR($B27="", Q$2=""), "", IFERROR(INDEX(VideoTimeStamps!$C:$C, MATCH(1, INDEX((VideoTimeStamps!$A:$A=$B27)*ISNUMBER(SEARCH(Q$2, VideoTimeStamps!$E:$E)), 0), 0)), ""))</f>
        <v/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 t="b">
        <v>0</v>
      </c>
      <c r="B28" s="3"/>
      <c r="C28" s="9"/>
      <c r="D28" s="3" t="str">
        <f t="array" ref="D28">IF(OR($B28="", D$2=""), "", IFERROR(INDEX(VideoTimeStamps!$C:$C, MATCH(1, INDEX((VideoTimeStamps!$A:$A=$B28)*ISNUMBER(SEARCH(D$2, VideoTimeStamps!$E:$E)), 0), 0)), ""))</f>
        <v/>
      </c>
      <c r="E28" s="3" t="str">
        <f t="array" ref="E28">IF(OR($B28="", E$2=""), "", IFERROR(INDEX(VideoTimeStamps!$C:$C, MATCH(1, INDEX((VideoTimeStamps!$A:$A=$B28)*ISNUMBER(SEARCH(E$2, VideoTimeStamps!$E:$E)), 0), 0)), ""))</f>
        <v/>
      </c>
      <c r="F28" s="3" t="str">
        <f t="array" ref="F28">IF(OR($B28="", F$2=""), "", IFERROR(INDEX(VideoTimeStamps!$C:$C, MATCH(1, INDEX((VideoTimeStamps!$A:$A=$B28)*ISNUMBER(SEARCH(F$2, VideoTimeStamps!$E:$E)), 0), 0)), ""))</f>
        <v/>
      </c>
      <c r="G28" s="3" t="str">
        <f t="array" ref="G28">IF(OR($B28="", G$2=""), "", IFERROR(INDEX(VideoTimeStamps!$C:$C, MATCH(1, INDEX((VideoTimeStamps!$A:$A=$B28)*ISNUMBER(SEARCH(G$2, VideoTimeStamps!$E:$E)), 0), 0)), ""))</f>
        <v/>
      </c>
      <c r="H28" s="3" t="str">
        <f t="array" ref="H28">IF(OR($B28="", H$2=""), "", IFERROR(INDEX(VideoTimeStamps!$C:$C, MATCH(1, INDEX((VideoTimeStamps!$A:$A=$B28)*ISNUMBER(SEARCH(H$2, VideoTimeStamps!$E:$E)), 0), 0)), ""))</f>
        <v/>
      </c>
      <c r="I28" s="3" t="str">
        <f t="array" ref="I28">IF(OR($B28="", I$2=""), "", IFERROR(INDEX(VideoTimeStamps!$C:$C, MATCH(1, INDEX((VideoTimeStamps!$A:$A=$B28)*ISNUMBER(SEARCH(I$2, VideoTimeStamps!$E:$E)), 0), 0)), ""))</f>
        <v/>
      </c>
      <c r="J28" s="3" t="str">
        <f t="array" ref="J28">IF(OR($B28="", J$2=""), "", IFERROR(INDEX(VideoTimeStamps!$C:$C, MATCH(1, INDEX((VideoTimeStamps!$A:$A=$B28)*ISNUMBER(SEARCH(J$2, VideoTimeStamps!$E:$E)), 0), 0)), ""))</f>
        <v/>
      </c>
      <c r="K28" s="3" t="str">
        <f t="array" ref="K28">IF(OR($B28="", K$2=""), "", IFERROR(INDEX(VideoTimeStamps!$C:$C, MATCH(1, INDEX((VideoTimeStamps!$A:$A=$B28)*ISNUMBER(SEARCH(K$2, VideoTimeStamps!$E:$E)), 0), 0)), ""))</f>
        <v/>
      </c>
      <c r="L28" s="3" t="str">
        <f t="array" ref="L28">IF(OR($B28="", L$2=""), "", IFERROR(INDEX(VideoTimeStamps!$C:$C, MATCH(1, INDEX((VideoTimeStamps!$A:$A=$B28)*ISNUMBER(SEARCH(L$2, VideoTimeStamps!$E:$E)), 0), 0)), ""))</f>
        <v/>
      </c>
      <c r="M28" s="3" t="str">
        <f t="array" ref="M28">IF(OR($B28="", M$2=""), "", IFERROR(INDEX(VideoTimeStamps!$C:$C, MATCH(1, INDEX((VideoTimeStamps!$A:$A=$B28)*ISNUMBER(SEARCH(M$2, VideoTimeStamps!$E:$E)), 0), 0)), ""))</f>
        <v/>
      </c>
      <c r="N28" s="3" t="str">
        <f t="array" ref="N28">IF(OR($B28="", N$2=""), "", IFERROR(INDEX(VideoTimeStamps!$C:$C, MATCH(1, INDEX((VideoTimeStamps!$A:$A=$B28)*ISNUMBER(SEARCH(N$2, VideoTimeStamps!$E:$E)), 0), 0)), ""))</f>
        <v/>
      </c>
      <c r="O28" s="3" t="str">
        <f t="array" ref="O28">IF(OR($B28="", O$2=""), "", IFERROR(INDEX(VideoTimeStamps!$C:$C, MATCH(1, INDEX((VideoTimeStamps!$A:$A=$B28)*ISNUMBER(SEARCH(O$2, VideoTimeStamps!$E:$E)), 0), 0)), ""))</f>
        <v/>
      </c>
      <c r="P28" s="3" t="str">
        <f t="array" ref="P28">IF(OR($B28="", P$2=""), "", IFERROR(INDEX(VideoTimeStamps!$C:$C, MATCH(1, INDEX((VideoTimeStamps!$A:$A=$B28)*ISNUMBER(SEARCH(P$2, VideoTimeStamps!$E:$E)), 0), 0)), ""))</f>
        <v/>
      </c>
      <c r="Q28" s="3" t="str">
        <f t="array" ref="Q28">IF(OR($B28="", Q$2=""), "", IFERROR(INDEX(VideoTimeStamps!$C:$C, MATCH(1, INDEX((VideoTimeStamps!$A:$A=$B28)*ISNUMBER(SEARCH(Q$2, VideoTimeStamps!$E:$E)), 0), 0)), ""))</f>
        <v/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 t="b">
        <v>0</v>
      </c>
      <c r="B29" s="3"/>
      <c r="C29" s="3"/>
      <c r="D29" s="3" t="str">
        <f t="array" ref="D29">IF(OR($B29="", D$2=""), "", IFERROR(INDEX(VideoTimeStamps!$C:$C, MATCH(1, INDEX((VideoTimeStamps!$A:$A=$B29)*ISNUMBER(SEARCH(D$2, VideoTimeStamps!$E:$E)), 0), 0)), ""))</f>
        <v/>
      </c>
      <c r="E29" s="3" t="str">
        <f t="array" ref="E29">IF(OR($B29="", E$2=""), "", IFERROR(INDEX(VideoTimeStamps!$C:$C, MATCH(1, INDEX((VideoTimeStamps!$A:$A=$B29)*ISNUMBER(SEARCH(E$2, VideoTimeStamps!$E:$E)), 0), 0)), ""))</f>
        <v/>
      </c>
      <c r="F29" s="3" t="str">
        <f t="array" ref="F29">IF(OR($B29="", F$2=""), "", IFERROR(INDEX(VideoTimeStamps!$C:$C, MATCH(1, INDEX((VideoTimeStamps!$A:$A=$B29)*ISNUMBER(SEARCH(F$2, VideoTimeStamps!$E:$E)), 0), 0)), ""))</f>
        <v/>
      </c>
      <c r="G29" s="3" t="str">
        <f t="array" ref="G29">IF(OR($B29="", G$2=""), "", IFERROR(INDEX(VideoTimeStamps!$C:$C, MATCH(1, INDEX((VideoTimeStamps!$A:$A=$B29)*ISNUMBER(SEARCH(G$2, VideoTimeStamps!$E:$E)), 0), 0)), ""))</f>
        <v/>
      </c>
      <c r="H29" s="3" t="str">
        <f t="array" ref="H29">IF(OR($B29="", H$2=""), "", IFERROR(INDEX(VideoTimeStamps!$C:$C, MATCH(1, INDEX((VideoTimeStamps!$A:$A=$B29)*ISNUMBER(SEARCH(H$2, VideoTimeStamps!$E:$E)), 0), 0)), ""))</f>
        <v/>
      </c>
      <c r="I29" s="3" t="str">
        <f t="array" ref="I29">IF(OR($B29="", I$2=""), "", IFERROR(INDEX(VideoTimeStamps!$C:$C, MATCH(1, INDEX((VideoTimeStamps!$A:$A=$B29)*ISNUMBER(SEARCH(I$2, VideoTimeStamps!$E:$E)), 0), 0)), ""))</f>
        <v/>
      </c>
      <c r="J29" s="3" t="str">
        <f t="array" ref="J29">IF(OR($B29="", J$2=""), "", IFERROR(INDEX(VideoTimeStamps!$C:$C, MATCH(1, INDEX((VideoTimeStamps!$A:$A=$B29)*ISNUMBER(SEARCH(J$2, VideoTimeStamps!$E:$E)), 0), 0)), ""))</f>
        <v/>
      </c>
      <c r="K29" s="3" t="str">
        <f t="array" ref="K29">IF(OR($B29="", K$2=""), "", IFERROR(INDEX(VideoTimeStamps!$C:$C, MATCH(1, INDEX((VideoTimeStamps!$A:$A=$B29)*ISNUMBER(SEARCH(K$2, VideoTimeStamps!$E:$E)), 0), 0)), ""))</f>
        <v/>
      </c>
      <c r="L29" s="3" t="str">
        <f t="array" ref="L29">IF(OR($B29="", L$2=""), "", IFERROR(INDEX(VideoTimeStamps!$C:$C, MATCH(1, INDEX((VideoTimeStamps!$A:$A=$B29)*ISNUMBER(SEARCH(L$2, VideoTimeStamps!$E:$E)), 0), 0)), ""))</f>
        <v/>
      </c>
      <c r="M29" s="3" t="str">
        <f t="array" ref="M29">IF(OR($B29="", M$2=""), "", IFERROR(INDEX(VideoTimeStamps!$C:$C, MATCH(1, INDEX((VideoTimeStamps!$A:$A=$B29)*ISNUMBER(SEARCH(M$2, VideoTimeStamps!$E:$E)), 0), 0)), ""))</f>
        <v/>
      </c>
      <c r="N29" s="3" t="str">
        <f t="array" ref="N29">IF(OR($B29="", N$2=""), "", IFERROR(INDEX(VideoTimeStamps!$C:$C, MATCH(1, INDEX((VideoTimeStamps!$A:$A=$B29)*ISNUMBER(SEARCH(N$2, VideoTimeStamps!$E:$E)), 0), 0)), ""))</f>
        <v/>
      </c>
      <c r="O29" s="3" t="str">
        <f t="array" ref="O29">IF(OR($B29="", O$2=""), "", IFERROR(INDEX(VideoTimeStamps!$C:$C, MATCH(1, INDEX((VideoTimeStamps!$A:$A=$B29)*ISNUMBER(SEARCH(O$2, VideoTimeStamps!$E:$E)), 0), 0)), ""))</f>
        <v/>
      </c>
      <c r="P29" s="3" t="str">
        <f t="array" ref="P29">IF(OR($B29="", P$2=""), "", IFERROR(INDEX(VideoTimeStamps!$C:$C, MATCH(1, INDEX((VideoTimeStamps!$A:$A=$B29)*ISNUMBER(SEARCH(P$2, VideoTimeStamps!$E:$E)), 0), 0)), ""))</f>
        <v/>
      </c>
      <c r="Q29" s="3" t="str">
        <f t="array" ref="Q29">IF(OR($B29="", Q$2=""), "", IFERROR(INDEX(VideoTimeStamps!$C:$C, MATCH(1, INDEX((VideoTimeStamps!$A:$A=$B29)*ISNUMBER(SEARCH(Q$2, VideoTimeStamps!$E:$E)), 0), 0)), ""))</f>
        <v/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 t="b">
        <v>0</v>
      </c>
      <c r="B30" s="3"/>
      <c r="C30" s="3"/>
      <c r="D30" s="3" t="str">
        <f t="array" ref="D30">IF(OR($B30="", D$2=""), "", IFERROR(INDEX(VideoTimeStamps!$C:$C, MATCH(1, INDEX((VideoTimeStamps!$A:$A=$B30)*ISNUMBER(SEARCH(D$2, VideoTimeStamps!$E:$E)), 0), 0)), ""))</f>
        <v/>
      </c>
      <c r="E30" s="3" t="str">
        <f t="array" ref="E30">IF(OR($B30="", E$2=""), "", IFERROR(INDEX(VideoTimeStamps!$C:$C, MATCH(1, INDEX((VideoTimeStamps!$A:$A=$B30)*ISNUMBER(SEARCH(E$2, VideoTimeStamps!$E:$E)), 0), 0)), ""))</f>
        <v/>
      </c>
      <c r="F30" s="3" t="str">
        <f t="array" ref="F30">IF(OR($B30="", F$2=""), "", IFERROR(INDEX(VideoTimeStamps!$C:$C, MATCH(1, INDEX((VideoTimeStamps!$A:$A=$B30)*ISNUMBER(SEARCH(F$2, VideoTimeStamps!$E:$E)), 0), 0)), ""))</f>
        <v/>
      </c>
      <c r="G30" s="3" t="str">
        <f t="array" ref="G30">IF(OR($B30="", G$2=""), "", IFERROR(INDEX(VideoTimeStamps!$C:$C, MATCH(1, INDEX((VideoTimeStamps!$A:$A=$B30)*ISNUMBER(SEARCH(G$2, VideoTimeStamps!$E:$E)), 0), 0)), ""))</f>
        <v/>
      </c>
      <c r="H30" s="3" t="str">
        <f t="array" ref="H30">IF(OR($B30="", H$2=""), "", IFERROR(INDEX(VideoTimeStamps!$C:$C, MATCH(1, INDEX((VideoTimeStamps!$A:$A=$B30)*ISNUMBER(SEARCH(H$2, VideoTimeStamps!$E:$E)), 0), 0)), ""))</f>
        <v/>
      </c>
      <c r="I30" s="3" t="str">
        <f t="array" ref="I30">IF(OR($B30="", I$2=""), "", IFERROR(INDEX(VideoTimeStamps!$C:$C, MATCH(1, INDEX((VideoTimeStamps!$A:$A=$B30)*ISNUMBER(SEARCH(I$2, VideoTimeStamps!$E:$E)), 0), 0)), ""))</f>
        <v/>
      </c>
      <c r="J30" s="3" t="str">
        <f t="array" ref="J30">IF(OR($B30="", J$2=""), "", IFERROR(INDEX(VideoTimeStamps!$C:$C, MATCH(1, INDEX((VideoTimeStamps!$A:$A=$B30)*ISNUMBER(SEARCH(J$2, VideoTimeStamps!$E:$E)), 0), 0)), ""))</f>
        <v/>
      </c>
      <c r="K30" s="3" t="str">
        <f t="array" ref="K30">IF(OR($B30="", K$2=""), "", IFERROR(INDEX(VideoTimeStamps!$C:$C, MATCH(1, INDEX((VideoTimeStamps!$A:$A=$B30)*ISNUMBER(SEARCH(K$2, VideoTimeStamps!$E:$E)), 0), 0)), ""))</f>
        <v/>
      </c>
      <c r="L30" s="3" t="str">
        <f t="array" ref="L30">IF(OR($B30="", L$2=""), "", IFERROR(INDEX(VideoTimeStamps!$C:$C, MATCH(1, INDEX((VideoTimeStamps!$A:$A=$B30)*ISNUMBER(SEARCH(L$2, VideoTimeStamps!$E:$E)), 0), 0)), ""))</f>
        <v/>
      </c>
      <c r="M30" s="3" t="str">
        <f t="array" ref="M30">IF(OR($B30="", M$2=""), "", IFERROR(INDEX(VideoTimeStamps!$C:$C, MATCH(1, INDEX((VideoTimeStamps!$A:$A=$B30)*ISNUMBER(SEARCH(M$2, VideoTimeStamps!$E:$E)), 0), 0)), ""))</f>
        <v/>
      </c>
      <c r="N30" s="3" t="str">
        <f t="array" ref="N30">IF(OR($B30="", N$2=""), "", IFERROR(INDEX(VideoTimeStamps!$C:$C, MATCH(1, INDEX((VideoTimeStamps!$A:$A=$B30)*ISNUMBER(SEARCH(N$2, VideoTimeStamps!$E:$E)), 0), 0)), ""))</f>
        <v/>
      </c>
      <c r="O30" s="3" t="str">
        <f t="array" ref="O30">IF(OR($B30="", O$2=""), "", IFERROR(INDEX(VideoTimeStamps!$C:$C, MATCH(1, INDEX((VideoTimeStamps!$A:$A=$B30)*ISNUMBER(SEARCH(O$2, VideoTimeStamps!$E:$E)), 0), 0)), ""))</f>
        <v/>
      </c>
      <c r="P30" s="3" t="str">
        <f t="array" ref="P30">IF(OR($B30="", P$2=""), "", IFERROR(INDEX(VideoTimeStamps!$C:$C, MATCH(1, INDEX((VideoTimeStamps!$A:$A=$B30)*ISNUMBER(SEARCH(P$2, VideoTimeStamps!$E:$E)), 0), 0)), ""))</f>
        <v/>
      </c>
      <c r="Q30" s="3" t="str">
        <f t="array" ref="Q30">IF(OR($B30="", Q$2=""), "", IFERROR(INDEX(VideoTimeStamps!$C:$C, MATCH(1, INDEX((VideoTimeStamps!$A:$A=$B30)*ISNUMBER(SEARCH(Q$2, VideoTimeStamps!$E:$E)), 0), 0)), ""))</f>
        <v/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 t="b">
        <v>0</v>
      </c>
      <c r="B31" s="3"/>
      <c r="C31" s="3"/>
      <c r="D31" s="3" t="str">
        <f t="array" ref="D31">IF(OR($B31="", D$2=""), "", IFERROR(INDEX(VideoTimeStamps!$C:$C, MATCH(1, INDEX((VideoTimeStamps!$A:$A=$B31)*ISNUMBER(SEARCH(D$2, VideoTimeStamps!$E:$E)), 0), 0)), ""))</f>
        <v/>
      </c>
      <c r="E31" s="3" t="str">
        <f t="array" ref="E31">IF(OR($B31="", E$2=""), "", IFERROR(INDEX(VideoTimeStamps!$C:$C, MATCH(1, INDEX((VideoTimeStamps!$A:$A=$B31)*ISNUMBER(SEARCH(E$2, VideoTimeStamps!$E:$E)), 0), 0)), ""))</f>
        <v/>
      </c>
      <c r="F31" s="3" t="str">
        <f t="array" ref="F31">IF(OR($B31="", F$2=""), "", IFERROR(INDEX(VideoTimeStamps!$C:$C, MATCH(1, INDEX((VideoTimeStamps!$A:$A=$B31)*ISNUMBER(SEARCH(F$2, VideoTimeStamps!$E:$E)), 0), 0)), ""))</f>
        <v/>
      </c>
      <c r="G31" s="3" t="str">
        <f t="array" ref="G31">IF(OR($B31="", G$2=""), "", IFERROR(INDEX(VideoTimeStamps!$C:$C, MATCH(1, INDEX((VideoTimeStamps!$A:$A=$B31)*ISNUMBER(SEARCH(G$2, VideoTimeStamps!$E:$E)), 0), 0)), ""))</f>
        <v/>
      </c>
      <c r="H31" s="3" t="str">
        <f t="array" ref="H31">IF(OR($B31="", H$2=""), "", IFERROR(INDEX(VideoTimeStamps!$C:$C, MATCH(1, INDEX((VideoTimeStamps!$A:$A=$B31)*ISNUMBER(SEARCH(H$2, VideoTimeStamps!$E:$E)), 0), 0)), ""))</f>
        <v/>
      </c>
      <c r="I31" s="3" t="str">
        <f t="array" ref="I31">IF(OR($B31="", I$2=""), "", IFERROR(INDEX(VideoTimeStamps!$C:$C, MATCH(1, INDEX((VideoTimeStamps!$A:$A=$B31)*ISNUMBER(SEARCH(I$2, VideoTimeStamps!$E:$E)), 0), 0)), ""))</f>
        <v/>
      </c>
      <c r="J31" s="3" t="str">
        <f t="array" ref="J31">IF(OR($B31="", J$2=""), "", IFERROR(INDEX(VideoTimeStamps!$C:$C, MATCH(1, INDEX((VideoTimeStamps!$A:$A=$B31)*ISNUMBER(SEARCH(J$2, VideoTimeStamps!$E:$E)), 0), 0)), ""))</f>
        <v/>
      </c>
      <c r="K31" s="3" t="str">
        <f t="array" ref="K31">IF(OR($B31="", K$2=""), "", IFERROR(INDEX(VideoTimeStamps!$C:$C, MATCH(1, INDEX((VideoTimeStamps!$A:$A=$B31)*ISNUMBER(SEARCH(K$2, VideoTimeStamps!$E:$E)), 0), 0)), ""))</f>
        <v/>
      </c>
      <c r="L31" s="3" t="str">
        <f t="array" ref="L31">IF(OR($B31="", L$2=""), "", IFERROR(INDEX(VideoTimeStamps!$C:$C, MATCH(1, INDEX((VideoTimeStamps!$A:$A=$B31)*ISNUMBER(SEARCH(L$2, VideoTimeStamps!$E:$E)), 0), 0)), ""))</f>
        <v/>
      </c>
      <c r="M31" s="3" t="str">
        <f t="array" ref="M31">IF(OR($B31="", M$2=""), "", IFERROR(INDEX(VideoTimeStamps!$C:$C, MATCH(1, INDEX((VideoTimeStamps!$A:$A=$B31)*ISNUMBER(SEARCH(M$2, VideoTimeStamps!$E:$E)), 0), 0)), ""))</f>
        <v/>
      </c>
      <c r="N31" s="3" t="str">
        <f t="array" ref="N31">IF(OR($B31="", N$2=""), "", IFERROR(INDEX(VideoTimeStamps!$C:$C, MATCH(1, INDEX((VideoTimeStamps!$A:$A=$B31)*ISNUMBER(SEARCH(N$2, VideoTimeStamps!$E:$E)), 0), 0)), ""))</f>
        <v/>
      </c>
      <c r="O31" s="3" t="str">
        <f t="array" ref="O31">IF(OR($B31="", O$2=""), "", IFERROR(INDEX(VideoTimeStamps!$C:$C, MATCH(1, INDEX((VideoTimeStamps!$A:$A=$B31)*ISNUMBER(SEARCH(O$2, VideoTimeStamps!$E:$E)), 0), 0)), ""))</f>
        <v/>
      </c>
      <c r="P31" s="3" t="str">
        <f t="array" ref="P31">IF(OR($B31="", P$2=""), "", IFERROR(INDEX(VideoTimeStamps!$C:$C, MATCH(1, INDEX((VideoTimeStamps!$A:$A=$B31)*ISNUMBER(SEARCH(P$2, VideoTimeStamps!$E:$E)), 0), 0)), ""))</f>
        <v/>
      </c>
      <c r="Q31" s="3" t="str">
        <f t="array" ref="Q31">IF(OR($B31="", Q$2=""), "", IFERROR(INDEX(VideoTimeStamps!$C:$C, MATCH(1, INDEX((VideoTimeStamps!$A:$A=$B31)*ISNUMBER(SEARCH(Q$2, VideoTimeStamps!$E:$E)), 0), 0)), ""))</f>
        <v/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 t="b">
        <v>0</v>
      </c>
      <c r="B32" s="3"/>
      <c r="C32" s="3"/>
      <c r="D32" s="3" t="str">
        <f t="array" ref="D32">IF(OR($B32="", D$2=""), "", IFERROR(INDEX(VideoTimeStamps!$C:$C, MATCH(1, INDEX((VideoTimeStamps!$A:$A=$B32)*ISNUMBER(SEARCH(D$2, VideoTimeStamps!$E:$E)), 0), 0)), ""))</f>
        <v/>
      </c>
      <c r="E32" s="3" t="str">
        <f t="array" ref="E32">IF(OR($B32="", E$2=""), "", IFERROR(INDEX(VideoTimeStamps!$C:$C, MATCH(1, INDEX((VideoTimeStamps!$A:$A=$B32)*ISNUMBER(SEARCH(E$2, VideoTimeStamps!$E:$E)), 0), 0)), ""))</f>
        <v/>
      </c>
      <c r="F32" s="3" t="str">
        <f t="array" ref="F32">IF(OR($B32="", F$2=""), "", IFERROR(INDEX(VideoTimeStamps!$C:$C, MATCH(1, INDEX((VideoTimeStamps!$A:$A=$B32)*ISNUMBER(SEARCH(F$2, VideoTimeStamps!$E:$E)), 0), 0)), ""))</f>
        <v/>
      </c>
      <c r="G32" s="3" t="str">
        <f t="array" ref="G32">IF(OR($B32="", G$2=""), "", IFERROR(INDEX(VideoTimeStamps!$C:$C, MATCH(1, INDEX((VideoTimeStamps!$A:$A=$B32)*ISNUMBER(SEARCH(G$2, VideoTimeStamps!$E:$E)), 0), 0)), ""))</f>
        <v/>
      </c>
      <c r="H32" s="3" t="str">
        <f t="array" ref="H32">IF(OR($B32="", H$2=""), "", IFERROR(INDEX(VideoTimeStamps!$C:$C, MATCH(1, INDEX((VideoTimeStamps!$A:$A=$B32)*ISNUMBER(SEARCH(H$2, VideoTimeStamps!$E:$E)), 0), 0)), ""))</f>
        <v/>
      </c>
      <c r="I32" s="3" t="str">
        <f t="array" ref="I32">IF(OR($B32="", I$2=""), "", IFERROR(INDEX(VideoTimeStamps!$C:$C, MATCH(1, INDEX((VideoTimeStamps!$A:$A=$B32)*ISNUMBER(SEARCH(I$2, VideoTimeStamps!$E:$E)), 0), 0)), ""))</f>
        <v/>
      </c>
      <c r="J32" s="3" t="str">
        <f t="array" ref="J32">IF(OR($B32="", J$2=""), "", IFERROR(INDEX(VideoTimeStamps!$C:$C, MATCH(1, INDEX((VideoTimeStamps!$A:$A=$B32)*ISNUMBER(SEARCH(J$2, VideoTimeStamps!$E:$E)), 0), 0)), ""))</f>
        <v/>
      </c>
      <c r="K32" s="3" t="str">
        <f t="array" ref="K32">IF(OR($B32="", K$2=""), "", IFERROR(INDEX(VideoTimeStamps!$C:$C, MATCH(1, INDEX((VideoTimeStamps!$A:$A=$B32)*ISNUMBER(SEARCH(K$2, VideoTimeStamps!$E:$E)), 0), 0)), ""))</f>
        <v/>
      </c>
      <c r="L32" s="3" t="str">
        <f t="array" ref="L32">IF(OR($B32="", L$2=""), "", IFERROR(INDEX(VideoTimeStamps!$C:$C, MATCH(1, INDEX((VideoTimeStamps!$A:$A=$B32)*ISNUMBER(SEARCH(L$2, VideoTimeStamps!$E:$E)), 0), 0)), ""))</f>
        <v/>
      </c>
      <c r="M32" s="3" t="str">
        <f t="array" ref="M32">IF(OR($B32="", M$2=""), "", IFERROR(INDEX(VideoTimeStamps!$C:$C, MATCH(1, INDEX((VideoTimeStamps!$A:$A=$B32)*ISNUMBER(SEARCH(M$2, VideoTimeStamps!$E:$E)), 0), 0)), ""))</f>
        <v/>
      </c>
      <c r="N32" s="3" t="str">
        <f t="array" ref="N32">IF(OR($B32="", N$2=""), "", IFERROR(INDEX(VideoTimeStamps!$C:$C, MATCH(1, INDEX((VideoTimeStamps!$A:$A=$B32)*ISNUMBER(SEARCH(N$2, VideoTimeStamps!$E:$E)), 0), 0)), ""))</f>
        <v/>
      </c>
      <c r="O32" s="3" t="str">
        <f t="array" ref="O32">IF(OR($B32="", O$2=""), "", IFERROR(INDEX(VideoTimeStamps!$C:$C, MATCH(1, INDEX((VideoTimeStamps!$A:$A=$B32)*ISNUMBER(SEARCH(O$2, VideoTimeStamps!$E:$E)), 0), 0)), ""))</f>
        <v/>
      </c>
      <c r="P32" s="3" t="str">
        <f t="array" ref="P32">IF(OR($B32="", P$2=""), "", IFERROR(INDEX(VideoTimeStamps!$C:$C, MATCH(1, INDEX((VideoTimeStamps!$A:$A=$B32)*ISNUMBER(SEARCH(P$2, VideoTimeStamps!$E:$E)), 0), 0)), ""))</f>
        <v/>
      </c>
      <c r="Q32" s="3" t="str">
        <f t="array" ref="Q32">IF(OR($B32="", Q$2=""), "", IFERROR(INDEX(VideoTimeStamps!$C:$C, MATCH(1, INDEX((VideoTimeStamps!$A:$A=$B32)*ISNUMBER(SEARCH(Q$2, VideoTimeStamps!$E:$E)), 0), 0)), ""))</f>
        <v/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 t="b">
        <v>0</v>
      </c>
      <c r="B33" s="3"/>
      <c r="C33" s="3"/>
      <c r="D33" s="3" t="str">
        <f t="array" ref="D33">IF(OR($B33="", D$2=""), "", IFERROR(INDEX(VideoTimeStamps!$C:$C, MATCH(1, INDEX((VideoTimeStamps!$A:$A=$B33)*ISNUMBER(SEARCH(D$2, VideoTimeStamps!$E:$E)), 0), 0)), ""))</f>
        <v/>
      </c>
      <c r="E33" s="3" t="str">
        <f t="array" ref="E33">IF(OR($B33="", E$2=""), "", IFERROR(INDEX(VideoTimeStamps!$C:$C, MATCH(1, INDEX((VideoTimeStamps!$A:$A=$B33)*ISNUMBER(SEARCH(E$2, VideoTimeStamps!$E:$E)), 0), 0)), ""))</f>
        <v/>
      </c>
      <c r="F33" s="3" t="str">
        <f t="array" ref="F33">IF(OR($B33="", F$2=""), "", IFERROR(INDEX(VideoTimeStamps!$C:$C, MATCH(1, INDEX((VideoTimeStamps!$A:$A=$B33)*ISNUMBER(SEARCH(F$2, VideoTimeStamps!$E:$E)), 0), 0)), ""))</f>
        <v/>
      </c>
      <c r="G33" s="3" t="str">
        <f t="array" ref="G33">IF(OR($B33="", G$2=""), "", IFERROR(INDEX(VideoTimeStamps!$C:$C, MATCH(1, INDEX((VideoTimeStamps!$A:$A=$B33)*ISNUMBER(SEARCH(G$2, VideoTimeStamps!$E:$E)), 0), 0)), ""))</f>
        <v/>
      </c>
      <c r="H33" s="3" t="str">
        <f t="array" ref="H33">IF(OR($B33="", H$2=""), "", IFERROR(INDEX(VideoTimeStamps!$C:$C, MATCH(1, INDEX((VideoTimeStamps!$A:$A=$B33)*ISNUMBER(SEARCH(H$2, VideoTimeStamps!$E:$E)), 0), 0)), ""))</f>
        <v/>
      </c>
      <c r="I33" s="3" t="str">
        <f t="array" ref="I33">IF(OR($B33="", I$2=""), "", IFERROR(INDEX(VideoTimeStamps!$C:$C, MATCH(1, INDEX((VideoTimeStamps!$A:$A=$B33)*ISNUMBER(SEARCH(I$2, VideoTimeStamps!$E:$E)), 0), 0)), ""))</f>
        <v/>
      </c>
      <c r="J33" s="3" t="str">
        <f t="array" ref="J33">IF(OR($B33="", J$2=""), "", IFERROR(INDEX(VideoTimeStamps!$C:$C, MATCH(1, INDEX((VideoTimeStamps!$A:$A=$B33)*ISNUMBER(SEARCH(J$2, VideoTimeStamps!$E:$E)), 0), 0)), ""))</f>
        <v/>
      </c>
      <c r="K33" s="3" t="str">
        <f t="array" ref="K33">IF(OR($B33="", K$2=""), "", IFERROR(INDEX(VideoTimeStamps!$C:$C, MATCH(1, INDEX((VideoTimeStamps!$A:$A=$B33)*ISNUMBER(SEARCH(K$2, VideoTimeStamps!$E:$E)), 0), 0)), ""))</f>
        <v/>
      </c>
      <c r="L33" s="3" t="str">
        <f t="array" ref="L33">IF(OR($B33="", L$2=""), "", IFERROR(INDEX(VideoTimeStamps!$C:$C, MATCH(1, INDEX((VideoTimeStamps!$A:$A=$B33)*ISNUMBER(SEARCH(L$2, VideoTimeStamps!$E:$E)), 0), 0)), ""))</f>
        <v/>
      </c>
      <c r="M33" s="3" t="str">
        <f t="array" ref="M33">IF(OR($B33="", M$2=""), "", IFERROR(INDEX(VideoTimeStamps!$C:$C, MATCH(1, INDEX((VideoTimeStamps!$A:$A=$B33)*ISNUMBER(SEARCH(M$2, VideoTimeStamps!$E:$E)), 0), 0)), ""))</f>
        <v/>
      </c>
      <c r="N33" s="3" t="str">
        <f t="array" ref="N33">IF(OR($B33="", N$2=""), "", IFERROR(INDEX(VideoTimeStamps!$C:$C, MATCH(1, INDEX((VideoTimeStamps!$A:$A=$B33)*ISNUMBER(SEARCH(N$2, VideoTimeStamps!$E:$E)), 0), 0)), ""))</f>
        <v/>
      </c>
      <c r="O33" s="3" t="str">
        <f t="array" ref="O33">IF(OR($B33="", O$2=""), "", IFERROR(INDEX(VideoTimeStamps!$C:$C, MATCH(1, INDEX((VideoTimeStamps!$A:$A=$B33)*ISNUMBER(SEARCH(O$2, VideoTimeStamps!$E:$E)), 0), 0)), ""))</f>
        <v/>
      </c>
      <c r="P33" s="3" t="str">
        <f t="array" ref="P33">IF(OR($B33="", P$2=""), "", IFERROR(INDEX(VideoTimeStamps!$C:$C, MATCH(1, INDEX((VideoTimeStamps!$A:$A=$B33)*ISNUMBER(SEARCH(P$2, VideoTimeStamps!$E:$E)), 0), 0)), ""))</f>
        <v/>
      </c>
      <c r="Q33" s="3" t="str">
        <f t="array" ref="Q33">IF(OR($B33="", Q$2=""), "", IFERROR(INDEX(VideoTimeStamps!$C:$C, MATCH(1, INDEX((VideoTimeStamps!$A:$A=$B33)*ISNUMBER(SEARCH(Q$2, VideoTimeStamps!$E:$E)), 0), 0)), ""))</f>
        <v/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 t="b">
        <v>0</v>
      </c>
      <c r="B34" s="3"/>
      <c r="C34" s="3"/>
      <c r="D34" s="3" t="str">
        <f t="array" ref="D34">IF(OR($B34="", D$2=""), "", IFERROR(INDEX(VideoTimeStamps!$C:$C, MATCH(1, INDEX((VideoTimeStamps!$A:$A=$B34)*ISNUMBER(SEARCH(D$2, VideoTimeStamps!$E:$E)), 0), 0)), ""))</f>
        <v/>
      </c>
      <c r="E34" s="3" t="str">
        <f t="array" ref="E34">IF(OR($B34="", E$2=""), "", IFERROR(INDEX(VideoTimeStamps!$C:$C, MATCH(1, INDEX((VideoTimeStamps!$A:$A=$B34)*ISNUMBER(SEARCH(E$2, VideoTimeStamps!$E:$E)), 0), 0)), ""))</f>
        <v/>
      </c>
      <c r="F34" s="3" t="str">
        <f t="array" ref="F34">IF(OR($B34="", F$2=""), "", IFERROR(INDEX(VideoTimeStamps!$C:$C, MATCH(1, INDEX((VideoTimeStamps!$A:$A=$B34)*ISNUMBER(SEARCH(F$2, VideoTimeStamps!$E:$E)), 0), 0)), ""))</f>
        <v/>
      </c>
      <c r="G34" s="3" t="str">
        <f t="array" ref="G34">IF(OR($B34="", G$2=""), "", IFERROR(INDEX(VideoTimeStamps!$C:$C, MATCH(1, INDEX((VideoTimeStamps!$A:$A=$B34)*ISNUMBER(SEARCH(G$2, VideoTimeStamps!$E:$E)), 0), 0)), ""))</f>
        <v/>
      </c>
      <c r="H34" s="3" t="str">
        <f t="array" ref="H34">IF(OR($B34="", H$2=""), "", IFERROR(INDEX(VideoTimeStamps!$C:$C, MATCH(1, INDEX((VideoTimeStamps!$A:$A=$B34)*ISNUMBER(SEARCH(H$2, VideoTimeStamps!$E:$E)), 0), 0)), ""))</f>
        <v/>
      </c>
      <c r="I34" s="3" t="str">
        <f t="array" ref="I34">IF(OR($B34="", I$2=""), "", IFERROR(INDEX(VideoTimeStamps!$C:$C, MATCH(1, INDEX((VideoTimeStamps!$A:$A=$B34)*ISNUMBER(SEARCH(I$2, VideoTimeStamps!$E:$E)), 0), 0)), ""))</f>
        <v/>
      </c>
      <c r="J34" s="3" t="str">
        <f t="array" ref="J34">IF(OR($B34="", J$2=""), "", IFERROR(INDEX(VideoTimeStamps!$C:$C, MATCH(1, INDEX((VideoTimeStamps!$A:$A=$B34)*ISNUMBER(SEARCH(J$2, VideoTimeStamps!$E:$E)), 0), 0)), ""))</f>
        <v/>
      </c>
      <c r="K34" s="3" t="str">
        <f t="array" ref="K34">IF(OR($B34="", K$2=""), "", IFERROR(INDEX(VideoTimeStamps!$C:$C, MATCH(1, INDEX((VideoTimeStamps!$A:$A=$B34)*ISNUMBER(SEARCH(K$2, VideoTimeStamps!$E:$E)), 0), 0)), ""))</f>
        <v/>
      </c>
      <c r="L34" s="3" t="str">
        <f t="array" ref="L34">IF(OR($B34="", L$2=""), "", IFERROR(INDEX(VideoTimeStamps!$C:$C, MATCH(1, INDEX((VideoTimeStamps!$A:$A=$B34)*ISNUMBER(SEARCH(L$2, VideoTimeStamps!$E:$E)), 0), 0)), ""))</f>
        <v/>
      </c>
      <c r="M34" s="3" t="str">
        <f t="array" ref="M34">IF(OR($B34="", M$2=""), "", IFERROR(INDEX(VideoTimeStamps!$C:$C, MATCH(1, INDEX((VideoTimeStamps!$A:$A=$B34)*ISNUMBER(SEARCH(M$2, VideoTimeStamps!$E:$E)), 0), 0)), ""))</f>
        <v/>
      </c>
      <c r="N34" s="3" t="str">
        <f t="array" ref="N34">IF(OR($B34="", N$2=""), "", IFERROR(INDEX(VideoTimeStamps!$C:$C, MATCH(1, INDEX((VideoTimeStamps!$A:$A=$B34)*ISNUMBER(SEARCH(N$2, VideoTimeStamps!$E:$E)), 0), 0)), ""))</f>
        <v/>
      </c>
      <c r="O34" s="3" t="str">
        <f t="array" ref="O34">IF(OR($B34="", O$2=""), "", IFERROR(INDEX(VideoTimeStamps!$C:$C, MATCH(1, INDEX((VideoTimeStamps!$A:$A=$B34)*ISNUMBER(SEARCH(O$2, VideoTimeStamps!$E:$E)), 0), 0)), ""))</f>
        <v/>
      </c>
      <c r="P34" s="3" t="str">
        <f t="array" ref="P34">IF(OR($B34="", P$2=""), "", IFERROR(INDEX(VideoTimeStamps!$C:$C, MATCH(1, INDEX((VideoTimeStamps!$A:$A=$B34)*ISNUMBER(SEARCH(P$2, VideoTimeStamps!$E:$E)), 0), 0)), ""))</f>
        <v/>
      </c>
      <c r="Q34" s="3" t="str">
        <f t="array" ref="Q34">IF(OR($B34="", Q$2=""), "", IFERROR(INDEX(VideoTimeStamps!$C:$C, MATCH(1, INDEX((VideoTimeStamps!$A:$A=$B34)*ISNUMBER(SEARCH(Q$2, VideoTimeStamps!$E:$E)), 0), 0)), ""))</f>
        <v/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 t="b">
        <v>0</v>
      </c>
      <c r="B35" s="3"/>
      <c r="C35" s="3"/>
      <c r="D35" s="3" t="str">
        <f t="array" ref="D35">IF(OR($B35="", D$2=""), "", IFERROR(INDEX(VideoTimeStamps!$C:$C, MATCH(1, INDEX((VideoTimeStamps!$A:$A=$B35)*ISNUMBER(SEARCH(D$2, VideoTimeStamps!$E:$E)), 0), 0)), ""))</f>
        <v/>
      </c>
      <c r="E35" s="3" t="str">
        <f t="array" ref="E35">IF(OR($B35="", E$2=""), "", IFERROR(INDEX(VideoTimeStamps!$C:$C, MATCH(1, INDEX((VideoTimeStamps!$A:$A=$B35)*ISNUMBER(SEARCH(E$2, VideoTimeStamps!$E:$E)), 0), 0)), ""))</f>
        <v/>
      </c>
      <c r="F35" s="3" t="str">
        <f t="array" ref="F35">IF(OR($B35="", F$2=""), "", IFERROR(INDEX(VideoTimeStamps!$C:$C, MATCH(1, INDEX((VideoTimeStamps!$A:$A=$B35)*ISNUMBER(SEARCH(F$2, VideoTimeStamps!$E:$E)), 0), 0)), ""))</f>
        <v/>
      </c>
      <c r="G35" s="3" t="str">
        <f t="array" ref="G35">IF(OR($B35="", G$2=""), "", IFERROR(INDEX(VideoTimeStamps!$C:$C, MATCH(1, INDEX((VideoTimeStamps!$A:$A=$B35)*ISNUMBER(SEARCH(G$2, VideoTimeStamps!$E:$E)), 0), 0)), ""))</f>
        <v/>
      </c>
      <c r="H35" s="3" t="str">
        <f t="array" ref="H35">IF(OR($B35="", H$2=""), "", IFERROR(INDEX(VideoTimeStamps!$C:$C, MATCH(1, INDEX((VideoTimeStamps!$A:$A=$B35)*ISNUMBER(SEARCH(H$2, VideoTimeStamps!$E:$E)), 0), 0)), ""))</f>
        <v/>
      </c>
      <c r="I35" s="3" t="str">
        <f t="array" ref="I35">IF(OR($B35="", I$2=""), "", IFERROR(INDEX(VideoTimeStamps!$C:$C, MATCH(1, INDEX((VideoTimeStamps!$A:$A=$B35)*ISNUMBER(SEARCH(I$2, VideoTimeStamps!$E:$E)), 0), 0)), ""))</f>
        <v/>
      </c>
      <c r="J35" s="3" t="str">
        <f t="array" ref="J35">IF(OR($B35="", J$2=""), "", IFERROR(INDEX(VideoTimeStamps!$C:$C, MATCH(1, INDEX((VideoTimeStamps!$A:$A=$B35)*ISNUMBER(SEARCH(J$2, VideoTimeStamps!$E:$E)), 0), 0)), ""))</f>
        <v/>
      </c>
      <c r="K35" s="3" t="str">
        <f t="array" ref="K35">IF(OR($B35="", K$2=""), "", IFERROR(INDEX(VideoTimeStamps!$C:$C, MATCH(1, INDEX((VideoTimeStamps!$A:$A=$B35)*ISNUMBER(SEARCH(K$2, VideoTimeStamps!$E:$E)), 0), 0)), ""))</f>
        <v/>
      </c>
      <c r="L35" s="3" t="str">
        <f t="array" ref="L35">IF(OR($B35="", L$2=""), "", IFERROR(INDEX(VideoTimeStamps!$C:$C, MATCH(1, INDEX((VideoTimeStamps!$A:$A=$B35)*ISNUMBER(SEARCH(L$2, VideoTimeStamps!$E:$E)), 0), 0)), ""))</f>
        <v/>
      </c>
      <c r="M35" s="3" t="str">
        <f t="array" ref="M35">IF(OR($B35="", M$2=""), "", IFERROR(INDEX(VideoTimeStamps!$C:$C, MATCH(1, INDEX((VideoTimeStamps!$A:$A=$B35)*ISNUMBER(SEARCH(M$2, VideoTimeStamps!$E:$E)), 0), 0)), ""))</f>
        <v/>
      </c>
      <c r="N35" s="3" t="str">
        <f t="array" ref="N35">IF(OR($B35="", N$2=""), "", IFERROR(INDEX(VideoTimeStamps!$C:$C, MATCH(1, INDEX((VideoTimeStamps!$A:$A=$B35)*ISNUMBER(SEARCH(N$2, VideoTimeStamps!$E:$E)), 0), 0)), ""))</f>
        <v/>
      </c>
      <c r="O35" s="3" t="str">
        <f t="array" ref="O35">IF(OR($B35="", O$2=""), "", IFERROR(INDEX(VideoTimeStamps!$C:$C, MATCH(1, INDEX((VideoTimeStamps!$A:$A=$B35)*ISNUMBER(SEARCH(O$2, VideoTimeStamps!$E:$E)), 0), 0)), ""))</f>
        <v/>
      </c>
      <c r="P35" s="3" t="str">
        <f t="array" ref="P35">IF(OR($B35="", P$2=""), "", IFERROR(INDEX(VideoTimeStamps!$C:$C, MATCH(1, INDEX((VideoTimeStamps!$A:$A=$B35)*ISNUMBER(SEARCH(P$2, VideoTimeStamps!$E:$E)), 0), 0)), ""))</f>
        <v/>
      </c>
      <c r="Q35" s="3" t="str">
        <f t="array" ref="Q35">IF(OR($B35="", Q$2=""), "", IFERROR(INDEX(VideoTimeStamps!$C:$C, MATCH(1, INDEX((VideoTimeStamps!$A:$A=$B35)*ISNUMBER(SEARCH(Q$2, VideoTimeStamps!$E:$E)), 0), 0)), ""))</f>
        <v/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 t="b">
        <v>0</v>
      </c>
      <c r="B36" s="3"/>
      <c r="C36" s="3"/>
      <c r="D36" s="3" t="str">
        <f t="array" ref="D36">IF(OR($B36="", D$2=""), "", IFERROR(INDEX(VideoTimeStamps!$C:$C, MATCH(1, INDEX((VideoTimeStamps!$A:$A=$B36)*ISNUMBER(SEARCH(D$2, VideoTimeStamps!$E:$E)), 0), 0)), ""))</f>
        <v/>
      </c>
      <c r="E36" s="3" t="str">
        <f t="array" ref="E36">IF(OR($B36="", E$2=""), "", IFERROR(INDEX(VideoTimeStamps!$C:$C, MATCH(1, INDEX((VideoTimeStamps!$A:$A=$B36)*ISNUMBER(SEARCH(E$2, VideoTimeStamps!$E:$E)), 0), 0)), ""))</f>
        <v/>
      </c>
      <c r="F36" s="3" t="str">
        <f t="array" ref="F36">IF(OR($B36="", F$2=""), "", IFERROR(INDEX(VideoTimeStamps!$C:$C, MATCH(1, INDEX((VideoTimeStamps!$A:$A=$B36)*ISNUMBER(SEARCH(F$2, VideoTimeStamps!$E:$E)), 0), 0)), ""))</f>
        <v/>
      </c>
      <c r="G36" s="3" t="str">
        <f t="array" ref="G36">IF(OR($B36="", G$2=""), "", IFERROR(INDEX(VideoTimeStamps!$C:$C, MATCH(1, INDEX((VideoTimeStamps!$A:$A=$B36)*ISNUMBER(SEARCH(G$2, VideoTimeStamps!$E:$E)), 0), 0)), ""))</f>
        <v/>
      </c>
      <c r="H36" s="3" t="str">
        <f t="array" ref="H36">IF(OR($B36="", H$2=""), "", IFERROR(INDEX(VideoTimeStamps!$C:$C, MATCH(1, INDEX((VideoTimeStamps!$A:$A=$B36)*ISNUMBER(SEARCH(H$2, VideoTimeStamps!$E:$E)), 0), 0)), ""))</f>
        <v/>
      </c>
      <c r="I36" s="3" t="str">
        <f t="array" ref="I36">IF(OR($B36="", I$2=""), "", IFERROR(INDEX(VideoTimeStamps!$C:$C, MATCH(1, INDEX((VideoTimeStamps!$A:$A=$B36)*ISNUMBER(SEARCH(I$2, VideoTimeStamps!$E:$E)), 0), 0)), ""))</f>
        <v/>
      </c>
      <c r="J36" s="3" t="str">
        <f t="array" ref="J36">IF(OR($B36="", J$2=""), "", IFERROR(INDEX(VideoTimeStamps!$C:$C, MATCH(1, INDEX((VideoTimeStamps!$A:$A=$B36)*ISNUMBER(SEARCH(J$2, VideoTimeStamps!$E:$E)), 0), 0)), ""))</f>
        <v/>
      </c>
      <c r="K36" s="3" t="str">
        <f t="array" ref="K36">IF(OR($B36="", K$2=""), "", IFERROR(INDEX(VideoTimeStamps!$C:$C, MATCH(1, INDEX((VideoTimeStamps!$A:$A=$B36)*ISNUMBER(SEARCH(K$2, VideoTimeStamps!$E:$E)), 0), 0)), ""))</f>
        <v/>
      </c>
      <c r="L36" s="3" t="str">
        <f t="array" ref="L36">IF(OR($B36="", L$2=""), "", IFERROR(INDEX(VideoTimeStamps!$C:$C, MATCH(1, INDEX((VideoTimeStamps!$A:$A=$B36)*ISNUMBER(SEARCH(L$2, VideoTimeStamps!$E:$E)), 0), 0)), ""))</f>
        <v/>
      </c>
      <c r="M36" s="3" t="str">
        <f t="array" ref="M36">IF(OR($B36="", M$2=""), "", IFERROR(INDEX(VideoTimeStamps!$C:$C, MATCH(1, INDEX((VideoTimeStamps!$A:$A=$B36)*ISNUMBER(SEARCH(M$2, VideoTimeStamps!$E:$E)), 0), 0)), ""))</f>
        <v/>
      </c>
      <c r="N36" s="3" t="str">
        <f t="array" ref="N36">IF(OR($B36="", N$2=""), "", IFERROR(INDEX(VideoTimeStamps!$C:$C, MATCH(1, INDEX((VideoTimeStamps!$A:$A=$B36)*ISNUMBER(SEARCH(N$2, VideoTimeStamps!$E:$E)), 0), 0)), ""))</f>
        <v/>
      </c>
      <c r="O36" s="3" t="str">
        <f t="array" ref="O36">IF(OR($B36="", O$2=""), "", IFERROR(INDEX(VideoTimeStamps!$C:$C, MATCH(1, INDEX((VideoTimeStamps!$A:$A=$B36)*ISNUMBER(SEARCH(O$2, VideoTimeStamps!$E:$E)), 0), 0)), ""))</f>
        <v/>
      </c>
      <c r="P36" s="3" t="str">
        <f t="array" ref="P36">IF(OR($B36="", P$2=""), "", IFERROR(INDEX(VideoTimeStamps!$C:$C, MATCH(1, INDEX((VideoTimeStamps!$A:$A=$B36)*ISNUMBER(SEARCH(P$2, VideoTimeStamps!$E:$E)), 0), 0)), ""))</f>
        <v/>
      </c>
      <c r="Q36" s="3" t="str">
        <f t="array" ref="Q36">IF(OR($B36="", Q$2=""), "", IFERROR(INDEX(VideoTimeStamps!$C:$C, MATCH(1, INDEX((VideoTimeStamps!$A:$A=$B36)*ISNUMBER(SEARCH(Q$2, VideoTimeStamps!$E:$E)), 0), 0)), ""))</f>
        <v/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 t="b">
        <v>0</v>
      </c>
      <c r="B37" s="3"/>
      <c r="C37" s="3"/>
      <c r="D37" s="3" t="str">
        <f t="array" ref="D37">IF(OR($B37="", D$2=""), "", IFERROR(INDEX(VideoTimeStamps!$C:$C, MATCH(1, INDEX((VideoTimeStamps!$A:$A=$B37)*ISNUMBER(SEARCH(D$2, VideoTimeStamps!$E:$E)), 0), 0)), ""))</f>
        <v/>
      </c>
      <c r="E37" s="3" t="str">
        <f t="array" ref="E37">IF(OR($B37="", E$2=""), "", IFERROR(INDEX(VideoTimeStamps!$C:$C, MATCH(1, INDEX((VideoTimeStamps!$A:$A=$B37)*ISNUMBER(SEARCH(E$2, VideoTimeStamps!$E:$E)), 0), 0)), ""))</f>
        <v/>
      </c>
      <c r="F37" s="3" t="str">
        <f t="array" ref="F37">IF(OR($B37="", F$2=""), "", IFERROR(INDEX(VideoTimeStamps!$C:$C, MATCH(1, INDEX((VideoTimeStamps!$A:$A=$B37)*ISNUMBER(SEARCH(F$2, VideoTimeStamps!$E:$E)), 0), 0)), ""))</f>
        <v/>
      </c>
      <c r="G37" s="3" t="str">
        <f t="array" ref="G37">IF(OR($B37="", G$2=""), "", IFERROR(INDEX(VideoTimeStamps!$C:$C, MATCH(1, INDEX((VideoTimeStamps!$A:$A=$B37)*ISNUMBER(SEARCH(G$2, VideoTimeStamps!$E:$E)), 0), 0)), ""))</f>
        <v/>
      </c>
      <c r="H37" s="3" t="str">
        <f t="array" ref="H37">IF(OR($B37="", H$2=""), "", IFERROR(INDEX(VideoTimeStamps!$C:$C, MATCH(1, INDEX((VideoTimeStamps!$A:$A=$B37)*ISNUMBER(SEARCH(H$2, VideoTimeStamps!$E:$E)), 0), 0)), ""))</f>
        <v/>
      </c>
      <c r="I37" s="3" t="str">
        <f t="array" ref="I37">IF(OR($B37="", I$2=""), "", IFERROR(INDEX(VideoTimeStamps!$C:$C, MATCH(1, INDEX((VideoTimeStamps!$A:$A=$B37)*ISNUMBER(SEARCH(I$2, VideoTimeStamps!$E:$E)), 0), 0)), ""))</f>
        <v/>
      </c>
      <c r="J37" s="3" t="str">
        <f t="array" ref="J37">IF(OR($B37="", J$2=""), "", IFERROR(INDEX(VideoTimeStamps!$C:$C, MATCH(1, INDEX((VideoTimeStamps!$A:$A=$B37)*ISNUMBER(SEARCH(J$2, VideoTimeStamps!$E:$E)), 0), 0)), ""))</f>
        <v/>
      </c>
      <c r="K37" s="3" t="str">
        <f t="array" ref="K37">IF(OR($B37="", K$2=""), "", IFERROR(INDEX(VideoTimeStamps!$C:$C, MATCH(1, INDEX((VideoTimeStamps!$A:$A=$B37)*ISNUMBER(SEARCH(K$2, VideoTimeStamps!$E:$E)), 0), 0)), ""))</f>
        <v/>
      </c>
      <c r="L37" s="3" t="str">
        <f t="array" ref="L37">IF(OR($B37="", L$2=""), "", IFERROR(INDEX(VideoTimeStamps!$C:$C, MATCH(1, INDEX((VideoTimeStamps!$A:$A=$B37)*ISNUMBER(SEARCH(L$2, VideoTimeStamps!$E:$E)), 0), 0)), ""))</f>
        <v/>
      </c>
      <c r="M37" s="3" t="str">
        <f t="array" ref="M37">IF(OR($B37="", M$2=""), "", IFERROR(INDEX(VideoTimeStamps!$C:$C, MATCH(1, INDEX((VideoTimeStamps!$A:$A=$B37)*ISNUMBER(SEARCH(M$2, VideoTimeStamps!$E:$E)), 0), 0)), ""))</f>
        <v/>
      </c>
      <c r="N37" s="3" t="str">
        <f t="array" ref="N37">IF(OR($B37="", N$2=""), "", IFERROR(INDEX(VideoTimeStamps!$C:$C, MATCH(1, INDEX((VideoTimeStamps!$A:$A=$B37)*ISNUMBER(SEARCH(N$2, VideoTimeStamps!$E:$E)), 0), 0)), ""))</f>
        <v/>
      </c>
      <c r="O37" s="3" t="str">
        <f t="array" ref="O37">IF(OR($B37="", O$2=""), "", IFERROR(INDEX(VideoTimeStamps!$C:$C, MATCH(1, INDEX((VideoTimeStamps!$A:$A=$B37)*ISNUMBER(SEARCH(O$2, VideoTimeStamps!$E:$E)), 0), 0)), ""))</f>
        <v/>
      </c>
      <c r="P37" s="3" t="str">
        <f t="array" ref="P37">IF(OR($B37="", P$2=""), "", IFERROR(INDEX(VideoTimeStamps!$C:$C, MATCH(1, INDEX((VideoTimeStamps!$A:$A=$B37)*ISNUMBER(SEARCH(P$2, VideoTimeStamps!$E:$E)), 0), 0)), ""))</f>
        <v/>
      </c>
      <c r="Q37" s="3" t="str">
        <f t="array" ref="Q37">IF(OR($B37="", Q$2=""), "", IFERROR(INDEX(VideoTimeStamps!$C:$C, MATCH(1, INDEX((VideoTimeStamps!$A:$A=$B37)*ISNUMBER(SEARCH(Q$2, VideoTimeStamps!$E:$E)), 0), 0)), ""))</f>
        <v/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 t="b">
        <v>0</v>
      </c>
      <c r="B38" s="3"/>
      <c r="C38" s="3"/>
      <c r="D38" s="3" t="str">
        <f t="array" ref="D38">IF(OR($B38="", D$2=""), "", IFERROR(INDEX(VideoTimeStamps!$C:$C, MATCH(1, INDEX((VideoTimeStamps!$A:$A=$B38)*ISNUMBER(SEARCH(D$2, VideoTimeStamps!$E:$E)), 0), 0)), ""))</f>
        <v/>
      </c>
      <c r="E38" s="3" t="str">
        <f t="array" ref="E38">IF(OR($B38="", E$2=""), "", IFERROR(INDEX(VideoTimeStamps!$C:$C, MATCH(1, INDEX((VideoTimeStamps!$A:$A=$B38)*ISNUMBER(SEARCH(E$2, VideoTimeStamps!$E:$E)), 0), 0)), ""))</f>
        <v/>
      </c>
      <c r="F38" s="3" t="str">
        <f t="array" ref="F38">IF(OR($B38="", F$2=""), "", IFERROR(INDEX(VideoTimeStamps!$C:$C, MATCH(1, INDEX((VideoTimeStamps!$A:$A=$B38)*ISNUMBER(SEARCH(F$2, VideoTimeStamps!$E:$E)), 0), 0)), ""))</f>
        <v/>
      </c>
      <c r="G38" s="3" t="str">
        <f t="array" ref="G38">IF(OR($B38="", G$2=""), "", IFERROR(INDEX(VideoTimeStamps!$C:$C, MATCH(1, INDEX((VideoTimeStamps!$A:$A=$B38)*ISNUMBER(SEARCH(G$2, VideoTimeStamps!$E:$E)), 0), 0)), ""))</f>
        <v/>
      </c>
      <c r="H38" s="3" t="str">
        <f t="array" ref="H38">IF(OR($B38="", H$2=""), "", IFERROR(INDEX(VideoTimeStamps!$C:$C, MATCH(1, INDEX((VideoTimeStamps!$A:$A=$B38)*ISNUMBER(SEARCH(H$2, VideoTimeStamps!$E:$E)), 0), 0)), ""))</f>
        <v/>
      </c>
      <c r="I38" s="3" t="str">
        <f t="array" ref="I38">IF(OR($B38="", I$2=""), "", IFERROR(INDEX(VideoTimeStamps!$C:$C, MATCH(1, INDEX((VideoTimeStamps!$A:$A=$B38)*ISNUMBER(SEARCH(I$2, VideoTimeStamps!$E:$E)), 0), 0)), ""))</f>
        <v/>
      </c>
      <c r="J38" s="3" t="str">
        <f t="array" ref="J38">IF(OR($B38="", J$2=""), "", IFERROR(INDEX(VideoTimeStamps!$C:$C, MATCH(1, INDEX((VideoTimeStamps!$A:$A=$B38)*ISNUMBER(SEARCH(J$2, VideoTimeStamps!$E:$E)), 0), 0)), ""))</f>
        <v/>
      </c>
      <c r="K38" s="3" t="str">
        <f t="array" ref="K38">IF(OR($B38="", K$2=""), "", IFERROR(INDEX(VideoTimeStamps!$C:$C, MATCH(1, INDEX((VideoTimeStamps!$A:$A=$B38)*ISNUMBER(SEARCH(K$2, VideoTimeStamps!$E:$E)), 0), 0)), ""))</f>
        <v/>
      </c>
      <c r="L38" s="3" t="str">
        <f t="array" ref="L38">IF(OR($B38="", L$2=""), "", IFERROR(INDEX(VideoTimeStamps!$C:$C, MATCH(1, INDEX((VideoTimeStamps!$A:$A=$B38)*ISNUMBER(SEARCH(L$2, VideoTimeStamps!$E:$E)), 0), 0)), ""))</f>
        <v/>
      </c>
      <c r="M38" s="3" t="str">
        <f t="array" ref="M38">IF(OR($B38="", M$2=""), "", IFERROR(INDEX(VideoTimeStamps!$C:$C, MATCH(1, INDEX((VideoTimeStamps!$A:$A=$B38)*ISNUMBER(SEARCH(M$2, VideoTimeStamps!$E:$E)), 0), 0)), ""))</f>
        <v/>
      </c>
      <c r="N38" s="3" t="str">
        <f t="array" ref="N38">IF(OR($B38="", N$2=""), "", IFERROR(INDEX(VideoTimeStamps!$C:$C, MATCH(1, INDEX((VideoTimeStamps!$A:$A=$B38)*ISNUMBER(SEARCH(N$2, VideoTimeStamps!$E:$E)), 0), 0)), ""))</f>
        <v/>
      </c>
      <c r="O38" s="3" t="str">
        <f t="array" ref="O38">IF(OR($B38="", O$2=""), "", IFERROR(INDEX(VideoTimeStamps!$C:$C, MATCH(1, INDEX((VideoTimeStamps!$A:$A=$B38)*ISNUMBER(SEARCH(O$2, VideoTimeStamps!$E:$E)), 0), 0)), ""))</f>
        <v/>
      </c>
      <c r="P38" s="3" t="str">
        <f t="array" ref="P38">IF(OR($B38="", P$2=""), "", IFERROR(INDEX(VideoTimeStamps!$C:$C, MATCH(1, INDEX((VideoTimeStamps!$A:$A=$B38)*ISNUMBER(SEARCH(P$2, VideoTimeStamps!$E:$E)), 0), 0)), ""))</f>
        <v/>
      </c>
      <c r="Q38" s="3" t="str">
        <f t="array" ref="Q38">IF(OR($B38="", Q$2=""), "", IFERROR(INDEX(VideoTimeStamps!$C:$C, MATCH(1, INDEX((VideoTimeStamps!$A:$A=$B38)*ISNUMBER(SEARCH(Q$2, VideoTimeStamps!$E:$E)), 0), 0)), ""))</f>
        <v/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 t="b">
        <v>0</v>
      </c>
      <c r="B39" s="3"/>
      <c r="C39" s="3"/>
      <c r="D39" s="3" t="str">
        <f t="array" ref="D39">IF(OR($B39="", D$2=""), "", IFERROR(INDEX(VideoTimeStamps!$C:$C, MATCH(1, INDEX((VideoTimeStamps!$A:$A=$B39)*ISNUMBER(SEARCH(D$2, VideoTimeStamps!$E:$E)), 0), 0)), ""))</f>
        <v/>
      </c>
      <c r="E39" s="3" t="str">
        <f t="array" ref="E39">IF(OR($B39="", E$2=""), "", IFERROR(INDEX(VideoTimeStamps!$C:$C, MATCH(1, INDEX((VideoTimeStamps!$A:$A=$B39)*ISNUMBER(SEARCH(E$2, VideoTimeStamps!$E:$E)), 0), 0)), ""))</f>
        <v/>
      </c>
      <c r="F39" s="3" t="str">
        <f t="array" ref="F39">IF(OR($B39="", F$2=""), "", IFERROR(INDEX(VideoTimeStamps!$C:$C, MATCH(1, INDEX((VideoTimeStamps!$A:$A=$B39)*ISNUMBER(SEARCH(F$2, VideoTimeStamps!$E:$E)), 0), 0)), ""))</f>
        <v/>
      </c>
      <c r="G39" s="3" t="str">
        <f t="array" ref="G39">IF(OR($B39="", G$2=""), "", IFERROR(INDEX(VideoTimeStamps!$C:$C, MATCH(1, INDEX((VideoTimeStamps!$A:$A=$B39)*ISNUMBER(SEARCH(G$2, VideoTimeStamps!$E:$E)), 0), 0)), ""))</f>
        <v/>
      </c>
      <c r="H39" s="3" t="str">
        <f t="array" ref="H39">IF(OR($B39="", H$2=""), "", IFERROR(INDEX(VideoTimeStamps!$C:$C, MATCH(1, INDEX((VideoTimeStamps!$A:$A=$B39)*ISNUMBER(SEARCH(H$2, VideoTimeStamps!$E:$E)), 0), 0)), ""))</f>
        <v/>
      </c>
      <c r="I39" s="3" t="str">
        <f t="array" ref="I39">IF(OR($B39="", I$2=""), "", IFERROR(INDEX(VideoTimeStamps!$C:$C, MATCH(1, INDEX((VideoTimeStamps!$A:$A=$B39)*ISNUMBER(SEARCH(I$2, VideoTimeStamps!$E:$E)), 0), 0)), ""))</f>
        <v/>
      </c>
      <c r="J39" s="3" t="str">
        <f t="array" ref="J39">IF(OR($B39="", J$2=""), "", IFERROR(INDEX(VideoTimeStamps!$C:$C, MATCH(1, INDEX((VideoTimeStamps!$A:$A=$B39)*ISNUMBER(SEARCH(J$2, VideoTimeStamps!$E:$E)), 0), 0)), ""))</f>
        <v/>
      </c>
      <c r="K39" s="3" t="str">
        <f t="array" ref="K39">IF(OR($B39="", K$2=""), "", IFERROR(INDEX(VideoTimeStamps!$C:$C, MATCH(1, INDEX((VideoTimeStamps!$A:$A=$B39)*ISNUMBER(SEARCH(K$2, VideoTimeStamps!$E:$E)), 0), 0)), ""))</f>
        <v/>
      </c>
      <c r="L39" s="3" t="str">
        <f t="array" ref="L39">IF(OR($B39="", L$2=""), "", IFERROR(INDEX(VideoTimeStamps!$C:$C, MATCH(1, INDEX((VideoTimeStamps!$A:$A=$B39)*ISNUMBER(SEARCH(L$2, VideoTimeStamps!$E:$E)), 0), 0)), ""))</f>
        <v/>
      </c>
      <c r="M39" s="3" t="str">
        <f t="array" ref="M39">IF(OR($B39="", M$2=""), "", IFERROR(INDEX(VideoTimeStamps!$C:$C, MATCH(1, INDEX((VideoTimeStamps!$A:$A=$B39)*ISNUMBER(SEARCH(M$2, VideoTimeStamps!$E:$E)), 0), 0)), ""))</f>
        <v/>
      </c>
      <c r="N39" s="3" t="str">
        <f t="array" ref="N39">IF(OR($B39="", N$2=""), "", IFERROR(INDEX(VideoTimeStamps!$C:$C, MATCH(1, INDEX((VideoTimeStamps!$A:$A=$B39)*ISNUMBER(SEARCH(N$2, VideoTimeStamps!$E:$E)), 0), 0)), ""))</f>
        <v/>
      </c>
      <c r="O39" s="3" t="str">
        <f t="array" ref="O39">IF(OR($B39="", O$2=""), "", IFERROR(INDEX(VideoTimeStamps!$C:$C, MATCH(1, INDEX((VideoTimeStamps!$A:$A=$B39)*ISNUMBER(SEARCH(O$2, VideoTimeStamps!$E:$E)), 0), 0)), ""))</f>
        <v/>
      </c>
      <c r="P39" s="3" t="str">
        <f t="array" ref="P39">IF(OR($B39="", P$2=""), "", IFERROR(INDEX(VideoTimeStamps!$C:$C, MATCH(1, INDEX((VideoTimeStamps!$A:$A=$B39)*ISNUMBER(SEARCH(P$2, VideoTimeStamps!$E:$E)), 0), 0)), ""))</f>
        <v/>
      </c>
      <c r="Q39" s="3" t="str">
        <f t="array" ref="Q39">IF(OR($B39="", Q$2=""), "", IFERROR(INDEX(VideoTimeStamps!$C:$C, MATCH(1, INDEX((VideoTimeStamps!$A:$A=$B39)*ISNUMBER(SEARCH(Q$2, VideoTimeStamps!$E:$E)), 0), 0)), ""))</f>
        <v/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 t="b">
        <v>0</v>
      </c>
      <c r="B40" s="3"/>
      <c r="C40" s="3"/>
      <c r="D40" s="3" t="str">
        <f t="array" ref="D40">IF(OR($B40="", D$2=""), "", IFERROR(INDEX(VideoTimeStamps!$C:$C, MATCH(1, INDEX((VideoTimeStamps!$A:$A=$B40)*ISNUMBER(SEARCH(D$2, VideoTimeStamps!$E:$E)), 0), 0)), ""))</f>
        <v/>
      </c>
      <c r="E40" s="3" t="str">
        <f t="array" ref="E40">IF(OR($B40="", E$2=""), "", IFERROR(INDEX(VideoTimeStamps!$C:$C, MATCH(1, INDEX((VideoTimeStamps!$A:$A=$B40)*ISNUMBER(SEARCH(E$2, VideoTimeStamps!$E:$E)), 0), 0)), ""))</f>
        <v/>
      </c>
      <c r="F40" s="3" t="str">
        <f t="array" ref="F40">IF(OR($B40="", F$2=""), "", IFERROR(INDEX(VideoTimeStamps!$C:$C, MATCH(1, INDEX((VideoTimeStamps!$A:$A=$B40)*ISNUMBER(SEARCH(F$2, VideoTimeStamps!$E:$E)), 0), 0)), ""))</f>
        <v/>
      </c>
      <c r="G40" s="3" t="str">
        <f t="array" ref="G40">IF(OR($B40="", G$2=""), "", IFERROR(INDEX(VideoTimeStamps!$C:$C, MATCH(1, INDEX((VideoTimeStamps!$A:$A=$B40)*ISNUMBER(SEARCH(G$2, VideoTimeStamps!$E:$E)), 0), 0)), ""))</f>
        <v/>
      </c>
      <c r="H40" s="3" t="str">
        <f t="array" ref="H40">IF(OR($B40="", H$2=""), "", IFERROR(INDEX(VideoTimeStamps!$C:$C, MATCH(1, INDEX((VideoTimeStamps!$A:$A=$B40)*ISNUMBER(SEARCH(H$2, VideoTimeStamps!$E:$E)), 0), 0)), ""))</f>
        <v/>
      </c>
      <c r="I40" s="3" t="str">
        <f t="array" ref="I40">IF(OR($B40="", I$2=""), "", IFERROR(INDEX(VideoTimeStamps!$C:$C, MATCH(1, INDEX((VideoTimeStamps!$A:$A=$B40)*ISNUMBER(SEARCH(I$2, VideoTimeStamps!$E:$E)), 0), 0)), ""))</f>
        <v/>
      </c>
      <c r="J40" s="3" t="str">
        <f t="array" ref="J40">IF(OR($B40="", J$2=""), "", IFERROR(INDEX(VideoTimeStamps!$C:$C, MATCH(1, INDEX((VideoTimeStamps!$A:$A=$B40)*ISNUMBER(SEARCH(J$2, VideoTimeStamps!$E:$E)), 0), 0)), ""))</f>
        <v/>
      </c>
      <c r="K40" s="3" t="str">
        <f t="array" ref="K40">IF(OR($B40="", K$2=""), "", IFERROR(INDEX(VideoTimeStamps!$C:$C, MATCH(1, INDEX((VideoTimeStamps!$A:$A=$B40)*ISNUMBER(SEARCH(K$2, VideoTimeStamps!$E:$E)), 0), 0)), ""))</f>
        <v/>
      </c>
      <c r="L40" s="3" t="str">
        <f t="array" ref="L40">IF(OR($B40="", L$2=""), "", IFERROR(INDEX(VideoTimeStamps!$C:$C, MATCH(1, INDEX((VideoTimeStamps!$A:$A=$B40)*ISNUMBER(SEARCH(L$2, VideoTimeStamps!$E:$E)), 0), 0)), ""))</f>
        <v/>
      </c>
      <c r="M40" s="3" t="str">
        <f t="array" ref="M40">IF(OR($B40="", M$2=""), "", IFERROR(INDEX(VideoTimeStamps!$C:$C, MATCH(1, INDEX((VideoTimeStamps!$A:$A=$B40)*ISNUMBER(SEARCH(M$2, VideoTimeStamps!$E:$E)), 0), 0)), ""))</f>
        <v/>
      </c>
      <c r="N40" s="3" t="str">
        <f t="array" ref="N40">IF(OR($B40="", N$2=""), "", IFERROR(INDEX(VideoTimeStamps!$C:$C, MATCH(1, INDEX((VideoTimeStamps!$A:$A=$B40)*ISNUMBER(SEARCH(N$2, VideoTimeStamps!$E:$E)), 0), 0)), ""))</f>
        <v/>
      </c>
      <c r="O40" s="3" t="str">
        <f t="array" ref="O40">IF(OR($B40="", O$2=""), "", IFERROR(INDEX(VideoTimeStamps!$C:$C, MATCH(1, INDEX((VideoTimeStamps!$A:$A=$B40)*ISNUMBER(SEARCH(O$2, VideoTimeStamps!$E:$E)), 0), 0)), ""))</f>
        <v/>
      </c>
      <c r="P40" s="3" t="str">
        <f t="array" ref="P40">IF(OR($B40="", P$2=""), "", IFERROR(INDEX(VideoTimeStamps!$C:$C, MATCH(1, INDEX((VideoTimeStamps!$A:$A=$B40)*ISNUMBER(SEARCH(P$2, VideoTimeStamps!$E:$E)), 0), 0)), ""))</f>
        <v/>
      </c>
      <c r="Q40" s="3" t="str">
        <f t="array" ref="Q40">IF(OR($B40="", Q$2=""), "", IFERROR(INDEX(VideoTimeStamps!$C:$C, MATCH(1, INDEX((VideoTimeStamps!$A:$A=$B40)*ISNUMBER(SEARCH(Q$2, VideoTimeStamps!$E:$E)), 0), 0)), ""))</f>
        <v/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 t="b">
        <v>0</v>
      </c>
      <c r="B41" s="3"/>
      <c r="C41" s="3"/>
      <c r="D41" s="3" t="str">
        <f t="array" ref="D41">IF(OR($B41="", D$2=""), "", IFERROR(INDEX(VideoTimeStamps!$C:$C, MATCH(1, INDEX((VideoTimeStamps!$A:$A=$B41)*ISNUMBER(SEARCH(D$2, VideoTimeStamps!$E:$E)), 0), 0)), ""))</f>
        <v/>
      </c>
      <c r="E41" s="3" t="str">
        <f t="array" ref="E41">IF(OR($B41="", E$2=""), "", IFERROR(INDEX(VideoTimeStamps!$C:$C, MATCH(1, INDEX((VideoTimeStamps!$A:$A=$B41)*ISNUMBER(SEARCH(E$2, VideoTimeStamps!$E:$E)), 0), 0)), ""))</f>
        <v/>
      </c>
      <c r="F41" s="3" t="str">
        <f t="array" ref="F41">IF(OR($B41="", F$2=""), "", IFERROR(INDEX(VideoTimeStamps!$C:$C, MATCH(1, INDEX((VideoTimeStamps!$A:$A=$B41)*ISNUMBER(SEARCH(F$2, VideoTimeStamps!$E:$E)), 0), 0)), ""))</f>
        <v/>
      </c>
      <c r="G41" s="3" t="str">
        <f t="array" ref="G41">IF(OR($B41="", G$2=""), "", IFERROR(INDEX(VideoTimeStamps!$C:$C, MATCH(1, INDEX((VideoTimeStamps!$A:$A=$B41)*ISNUMBER(SEARCH(G$2, VideoTimeStamps!$E:$E)), 0), 0)), ""))</f>
        <v/>
      </c>
      <c r="H41" s="3" t="str">
        <f t="array" ref="H41">IF(OR($B41="", H$2=""), "", IFERROR(INDEX(VideoTimeStamps!$C:$C, MATCH(1, INDEX((VideoTimeStamps!$A:$A=$B41)*ISNUMBER(SEARCH(H$2, VideoTimeStamps!$E:$E)), 0), 0)), ""))</f>
        <v/>
      </c>
      <c r="I41" s="3" t="str">
        <f t="array" ref="I41">IF(OR($B41="", I$2=""), "", IFERROR(INDEX(VideoTimeStamps!$C:$C, MATCH(1, INDEX((VideoTimeStamps!$A:$A=$B41)*ISNUMBER(SEARCH(I$2, VideoTimeStamps!$E:$E)), 0), 0)), ""))</f>
        <v/>
      </c>
      <c r="J41" s="3" t="str">
        <f t="array" ref="J41">IF(OR($B41="", J$2=""), "", IFERROR(INDEX(VideoTimeStamps!$C:$C, MATCH(1, INDEX((VideoTimeStamps!$A:$A=$B41)*ISNUMBER(SEARCH(J$2, VideoTimeStamps!$E:$E)), 0), 0)), ""))</f>
        <v/>
      </c>
      <c r="K41" s="3" t="str">
        <f t="array" ref="K41">IF(OR($B41="", K$2=""), "", IFERROR(INDEX(VideoTimeStamps!$C:$C, MATCH(1, INDEX((VideoTimeStamps!$A:$A=$B41)*ISNUMBER(SEARCH(K$2, VideoTimeStamps!$E:$E)), 0), 0)), ""))</f>
        <v/>
      </c>
      <c r="L41" s="3" t="str">
        <f t="array" ref="L41">IF(OR($B41="", L$2=""), "", IFERROR(INDEX(VideoTimeStamps!$C:$C, MATCH(1, INDEX((VideoTimeStamps!$A:$A=$B41)*ISNUMBER(SEARCH(L$2, VideoTimeStamps!$E:$E)), 0), 0)), ""))</f>
        <v/>
      </c>
      <c r="M41" s="3" t="str">
        <f t="array" ref="M41">IF(OR($B41="", M$2=""), "", IFERROR(INDEX(VideoTimeStamps!$C:$C, MATCH(1, INDEX((VideoTimeStamps!$A:$A=$B41)*ISNUMBER(SEARCH(M$2, VideoTimeStamps!$E:$E)), 0), 0)), ""))</f>
        <v/>
      </c>
      <c r="N41" s="3" t="str">
        <f t="array" ref="N41">IF(OR($B41="", N$2=""), "", IFERROR(INDEX(VideoTimeStamps!$C:$C, MATCH(1, INDEX((VideoTimeStamps!$A:$A=$B41)*ISNUMBER(SEARCH(N$2, VideoTimeStamps!$E:$E)), 0), 0)), ""))</f>
        <v/>
      </c>
      <c r="O41" s="3" t="str">
        <f t="array" ref="O41">IF(OR($B41="", O$2=""), "", IFERROR(INDEX(VideoTimeStamps!$C:$C, MATCH(1, INDEX((VideoTimeStamps!$A:$A=$B41)*ISNUMBER(SEARCH(O$2, VideoTimeStamps!$E:$E)), 0), 0)), ""))</f>
        <v/>
      </c>
      <c r="P41" s="3" t="str">
        <f t="array" ref="P41">IF(OR($B41="", P$2=""), "", IFERROR(INDEX(VideoTimeStamps!$C:$C, MATCH(1, INDEX((VideoTimeStamps!$A:$A=$B41)*ISNUMBER(SEARCH(P$2, VideoTimeStamps!$E:$E)), 0), 0)), ""))</f>
        <v/>
      </c>
      <c r="Q41" s="3" t="str">
        <f t="array" ref="Q41">IF(OR($B41="", Q$2=""), "", IFERROR(INDEX(VideoTimeStamps!$C:$C, MATCH(1, INDEX((VideoTimeStamps!$A:$A=$B41)*ISNUMBER(SEARCH(Q$2, VideoTimeStamps!$E:$E)), 0), 0)), ""))</f>
        <v/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 t="b">
        <v>0</v>
      </c>
      <c r="B42" s="3"/>
      <c r="C42" s="3"/>
      <c r="D42" s="3" t="str">
        <f t="array" ref="D42">IF(OR($B42="", D$2=""), "", IFERROR(INDEX(VideoTimeStamps!$C:$C, MATCH(1, INDEX((VideoTimeStamps!$A:$A=$B42)*ISNUMBER(SEARCH(D$2, VideoTimeStamps!$E:$E)), 0), 0)), ""))</f>
        <v/>
      </c>
      <c r="E42" s="3" t="str">
        <f t="array" ref="E42">IF(OR($B42="", E$2=""), "", IFERROR(INDEX(VideoTimeStamps!$C:$C, MATCH(1, INDEX((VideoTimeStamps!$A:$A=$B42)*ISNUMBER(SEARCH(E$2, VideoTimeStamps!$E:$E)), 0), 0)), ""))</f>
        <v/>
      </c>
      <c r="F42" s="3" t="str">
        <f t="array" ref="F42">IF(OR($B42="", F$2=""), "", IFERROR(INDEX(VideoTimeStamps!$C:$C, MATCH(1, INDEX((VideoTimeStamps!$A:$A=$B42)*ISNUMBER(SEARCH(F$2, VideoTimeStamps!$E:$E)), 0), 0)), ""))</f>
        <v/>
      </c>
      <c r="G42" s="3" t="str">
        <f t="array" ref="G42">IF(OR($B42="", G$2=""), "", IFERROR(INDEX(VideoTimeStamps!$C:$C, MATCH(1, INDEX((VideoTimeStamps!$A:$A=$B42)*ISNUMBER(SEARCH(G$2, VideoTimeStamps!$E:$E)), 0), 0)), ""))</f>
        <v/>
      </c>
      <c r="H42" s="3" t="str">
        <f t="array" ref="H42">IF(OR($B42="", H$2=""), "", IFERROR(INDEX(VideoTimeStamps!$C:$C, MATCH(1, INDEX((VideoTimeStamps!$A:$A=$B42)*ISNUMBER(SEARCH(H$2, VideoTimeStamps!$E:$E)), 0), 0)), ""))</f>
        <v/>
      </c>
      <c r="I42" s="3" t="str">
        <f t="array" ref="I42">IF(OR($B42="", I$2=""), "", IFERROR(INDEX(VideoTimeStamps!$C:$C, MATCH(1, INDEX((VideoTimeStamps!$A:$A=$B42)*ISNUMBER(SEARCH(I$2, VideoTimeStamps!$E:$E)), 0), 0)), ""))</f>
        <v/>
      </c>
      <c r="J42" s="3" t="str">
        <f t="array" ref="J42">IF(OR($B42="", J$2=""), "", IFERROR(INDEX(VideoTimeStamps!$C:$C, MATCH(1, INDEX((VideoTimeStamps!$A:$A=$B42)*ISNUMBER(SEARCH(J$2, VideoTimeStamps!$E:$E)), 0), 0)), ""))</f>
        <v/>
      </c>
      <c r="K42" s="3" t="str">
        <f t="array" ref="K42">IF(OR($B42="", K$2=""), "", IFERROR(INDEX(VideoTimeStamps!$C:$C, MATCH(1, INDEX((VideoTimeStamps!$A:$A=$B42)*ISNUMBER(SEARCH(K$2, VideoTimeStamps!$E:$E)), 0), 0)), ""))</f>
        <v/>
      </c>
      <c r="L42" s="3" t="str">
        <f t="array" ref="L42">IF(OR($B42="", L$2=""), "", IFERROR(INDEX(VideoTimeStamps!$C:$C, MATCH(1, INDEX((VideoTimeStamps!$A:$A=$B42)*ISNUMBER(SEARCH(L$2, VideoTimeStamps!$E:$E)), 0), 0)), ""))</f>
        <v/>
      </c>
      <c r="M42" s="3" t="str">
        <f t="array" ref="M42">IF(OR($B42="", M$2=""), "", IFERROR(INDEX(VideoTimeStamps!$C:$C, MATCH(1, INDEX((VideoTimeStamps!$A:$A=$B42)*ISNUMBER(SEARCH(M$2, VideoTimeStamps!$E:$E)), 0), 0)), ""))</f>
        <v/>
      </c>
      <c r="N42" s="3" t="str">
        <f t="array" ref="N42">IF(OR($B42="", N$2=""), "", IFERROR(INDEX(VideoTimeStamps!$C:$C, MATCH(1, INDEX((VideoTimeStamps!$A:$A=$B42)*ISNUMBER(SEARCH(N$2, VideoTimeStamps!$E:$E)), 0), 0)), ""))</f>
        <v/>
      </c>
      <c r="O42" s="3" t="str">
        <f t="array" ref="O42">IF(OR($B42="", O$2=""), "", IFERROR(INDEX(VideoTimeStamps!$C:$C, MATCH(1, INDEX((VideoTimeStamps!$A:$A=$B42)*ISNUMBER(SEARCH(O$2, VideoTimeStamps!$E:$E)), 0), 0)), ""))</f>
        <v/>
      </c>
      <c r="P42" s="3" t="str">
        <f t="array" ref="P42">IF(OR($B42="", P$2=""), "", IFERROR(INDEX(VideoTimeStamps!$C:$C, MATCH(1, INDEX((VideoTimeStamps!$A:$A=$B42)*ISNUMBER(SEARCH(P$2, VideoTimeStamps!$E:$E)), 0), 0)), ""))</f>
        <v/>
      </c>
      <c r="Q42" s="3" t="str">
        <f t="array" ref="Q42">IF(OR($B42="", Q$2=""), "", IFERROR(INDEX(VideoTimeStamps!$C:$C, MATCH(1, INDEX((VideoTimeStamps!$A:$A=$B42)*ISNUMBER(SEARCH(Q$2, VideoTimeStamps!$E:$E)), 0), 0)), ""))</f>
        <v/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 t="b">
        <v>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 t="b">
        <v>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 t="b">
        <v>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 t="b">
        <v>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 t="b">
        <v>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 t="b">
        <v>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 t="b">
        <v>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 t="b">
        <v>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 t="b">
        <v>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 t="b">
        <v>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 t="b">
        <v>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 t="b">
        <v>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 t="b">
        <v>0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dataValidations>
    <dataValidation type="list" allowBlank="1" showErrorMessage="1" sqref="D2:Q2">
      <formula1>'Master KW'!$A:$A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30.13"/>
    <col customWidth="1" min="3" max="3" width="26.0"/>
    <col customWidth="1" min="4" max="4" width="14.63"/>
    <col customWidth="1" min="5" max="27" width="51.38"/>
  </cols>
  <sheetData>
    <row r="1">
      <c r="A1" s="10" t="s">
        <v>1</v>
      </c>
      <c r="B1" s="10" t="s">
        <v>17</v>
      </c>
      <c r="C1" s="10" t="s">
        <v>18</v>
      </c>
      <c r="D1" s="10" t="s">
        <v>19</v>
      </c>
      <c r="E1" s="10" t="s">
        <v>20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0" t="s">
        <v>21</v>
      </c>
      <c r="B2" s="10" t="s">
        <v>22</v>
      </c>
      <c r="C2" s="12" t="s">
        <v>23</v>
      </c>
      <c r="D2" s="10" t="s">
        <v>24</v>
      </c>
      <c r="E2" s="10" t="s">
        <v>25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0" t="s">
        <v>21</v>
      </c>
      <c r="B3" s="10" t="s">
        <v>26</v>
      </c>
      <c r="C3" s="12" t="s">
        <v>27</v>
      </c>
      <c r="D3" s="10" t="s">
        <v>24</v>
      </c>
      <c r="E3" s="10" t="s">
        <v>28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0" t="s">
        <v>21</v>
      </c>
      <c r="B4" s="10" t="s">
        <v>29</v>
      </c>
      <c r="C4" s="12" t="s">
        <v>30</v>
      </c>
      <c r="D4" s="10" t="s">
        <v>31</v>
      </c>
      <c r="E4" s="10" t="s">
        <v>32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0" t="s">
        <v>21</v>
      </c>
      <c r="B5" s="10" t="s">
        <v>33</v>
      </c>
      <c r="C5" s="12" t="s">
        <v>34</v>
      </c>
      <c r="D5" s="10" t="s">
        <v>35</v>
      </c>
      <c r="E5" s="10" t="s">
        <v>36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10" t="s">
        <v>21</v>
      </c>
      <c r="B6" s="10" t="s">
        <v>37</v>
      </c>
      <c r="C6" s="12" t="s">
        <v>38</v>
      </c>
      <c r="D6" s="10" t="s">
        <v>39</v>
      </c>
      <c r="E6" s="10" t="s">
        <v>40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0" t="s">
        <v>21</v>
      </c>
      <c r="B7" s="10" t="s">
        <v>41</v>
      </c>
      <c r="C7" s="12" t="s">
        <v>42</v>
      </c>
      <c r="D7" s="10" t="s">
        <v>43</v>
      </c>
      <c r="E7" s="10" t="s">
        <v>44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10" t="s">
        <v>21</v>
      </c>
      <c r="B8" s="10" t="s">
        <v>45</v>
      </c>
      <c r="C8" s="12" t="s">
        <v>46</v>
      </c>
      <c r="D8" s="10" t="s">
        <v>39</v>
      </c>
      <c r="E8" s="10" t="s">
        <v>47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0" t="s">
        <v>21</v>
      </c>
      <c r="B9" s="10" t="s">
        <v>48</v>
      </c>
      <c r="C9" s="12" t="s">
        <v>49</v>
      </c>
      <c r="D9" s="10" t="s">
        <v>24</v>
      </c>
      <c r="E9" s="10" t="s">
        <v>50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0" t="s">
        <v>21</v>
      </c>
      <c r="B10" s="10" t="s">
        <v>51</v>
      </c>
      <c r="C10" s="12" t="s">
        <v>52</v>
      </c>
      <c r="D10" s="10" t="s">
        <v>31</v>
      </c>
      <c r="E10" s="10" t="s">
        <v>53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10" t="s">
        <v>21</v>
      </c>
      <c r="B11" s="10" t="s">
        <v>54</v>
      </c>
      <c r="C11" s="12" t="s">
        <v>55</v>
      </c>
      <c r="D11" s="10" t="s">
        <v>24</v>
      </c>
      <c r="E11" s="10" t="s">
        <v>56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0" t="s">
        <v>21</v>
      </c>
      <c r="B12" s="10" t="s">
        <v>57</v>
      </c>
      <c r="C12" s="12" t="s">
        <v>58</v>
      </c>
      <c r="D12" s="10" t="s">
        <v>24</v>
      </c>
      <c r="E12" s="10" t="s">
        <v>59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0" t="s">
        <v>60</v>
      </c>
      <c r="B13" s="10" t="s">
        <v>61</v>
      </c>
      <c r="C13" s="12" t="s">
        <v>62</v>
      </c>
      <c r="D13" s="10" t="s">
        <v>39</v>
      </c>
      <c r="E13" s="10" t="s">
        <v>63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10" t="s">
        <v>60</v>
      </c>
      <c r="B14" s="10" t="s">
        <v>64</v>
      </c>
      <c r="C14" s="12" t="s">
        <v>65</v>
      </c>
      <c r="D14" s="10" t="s">
        <v>39</v>
      </c>
      <c r="E14" s="10" t="s">
        <v>66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10" t="s">
        <v>60</v>
      </c>
      <c r="B15" s="10" t="s">
        <v>67</v>
      </c>
      <c r="C15" s="12" t="s">
        <v>68</v>
      </c>
      <c r="D15" s="10" t="s">
        <v>43</v>
      </c>
      <c r="E15" s="10" t="s">
        <v>69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10" t="s">
        <v>60</v>
      </c>
      <c r="B16" s="10" t="s">
        <v>70</v>
      </c>
      <c r="C16" s="12" t="s">
        <v>71</v>
      </c>
      <c r="D16" s="10" t="s">
        <v>31</v>
      </c>
      <c r="E16" s="10" t="s">
        <v>72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0" t="s">
        <v>60</v>
      </c>
      <c r="B17" s="10" t="s">
        <v>73</v>
      </c>
      <c r="C17" s="12" t="s">
        <v>74</v>
      </c>
      <c r="D17" s="10" t="s">
        <v>24</v>
      </c>
      <c r="E17" s="10" t="s">
        <v>75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0" t="s">
        <v>60</v>
      </c>
      <c r="B18" s="10" t="s">
        <v>76</v>
      </c>
      <c r="C18" s="12" t="s">
        <v>77</v>
      </c>
      <c r="D18" s="10" t="s">
        <v>24</v>
      </c>
      <c r="E18" s="10" t="s">
        <v>78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0" t="s">
        <v>60</v>
      </c>
      <c r="B19" s="10" t="s">
        <v>76</v>
      </c>
      <c r="C19" s="12" t="s">
        <v>77</v>
      </c>
      <c r="D19" s="10" t="s">
        <v>24</v>
      </c>
      <c r="E19" s="10" t="s">
        <v>79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0" t="s">
        <v>60</v>
      </c>
      <c r="B20" s="10" t="s">
        <v>80</v>
      </c>
      <c r="C20" s="12" t="s">
        <v>81</v>
      </c>
      <c r="D20" s="10" t="s">
        <v>24</v>
      </c>
      <c r="E20" s="10" t="s">
        <v>82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0" t="s">
        <v>60</v>
      </c>
      <c r="B21" s="10" t="s">
        <v>80</v>
      </c>
      <c r="C21" s="12" t="s">
        <v>81</v>
      </c>
      <c r="D21" s="10" t="s">
        <v>24</v>
      </c>
      <c r="E21" s="10" t="s">
        <v>83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0" t="s">
        <v>60</v>
      </c>
      <c r="B22" s="10" t="s">
        <v>84</v>
      </c>
      <c r="C22" s="12" t="s">
        <v>85</v>
      </c>
      <c r="D22" s="10" t="s">
        <v>24</v>
      </c>
      <c r="E22" s="10" t="s">
        <v>86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0" t="s">
        <v>60</v>
      </c>
      <c r="B23" s="10" t="s">
        <v>84</v>
      </c>
      <c r="C23" s="12" t="s">
        <v>85</v>
      </c>
      <c r="D23" s="10" t="s">
        <v>24</v>
      </c>
      <c r="E23" s="10" t="s">
        <v>87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0" t="s">
        <v>60</v>
      </c>
      <c r="B24" s="10" t="s">
        <v>88</v>
      </c>
      <c r="C24" s="12" t="s">
        <v>89</v>
      </c>
      <c r="D24" s="10" t="s">
        <v>24</v>
      </c>
      <c r="E24" s="10" t="s">
        <v>90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0" t="s">
        <v>60</v>
      </c>
      <c r="B25" s="10" t="s">
        <v>88</v>
      </c>
      <c r="C25" s="12" t="s">
        <v>89</v>
      </c>
      <c r="D25" s="10" t="s">
        <v>24</v>
      </c>
      <c r="E25" s="10" t="s">
        <v>91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0" t="s">
        <v>60</v>
      </c>
      <c r="B26" s="10" t="s">
        <v>92</v>
      </c>
      <c r="C26" s="12" t="s">
        <v>93</v>
      </c>
      <c r="D26" s="10" t="s">
        <v>24</v>
      </c>
      <c r="E26" s="10" t="s">
        <v>94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0" t="s">
        <v>60</v>
      </c>
      <c r="B27" s="10" t="s">
        <v>92</v>
      </c>
      <c r="C27" s="12" t="s">
        <v>93</v>
      </c>
      <c r="D27" s="10" t="s">
        <v>24</v>
      </c>
      <c r="E27" s="10" t="s">
        <v>95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0" t="s">
        <v>96</v>
      </c>
      <c r="B28" s="10" t="s">
        <v>97</v>
      </c>
      <c r="C28" s="12" t="s">
        <v>98</v>
      </c>
      <c r="D28" s="10" t="s">
        <v>99</v>
      </c>
      <c r="E28" s="10" t="s">
        <v>100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0" t="s">
        <v>96</v>
      </c>
      <c r="B29" s="10" t="s">
        <v>97</v>
      </c>
      <c r="C29" s="12" t="s">
        <v>98</v>
      </c>
      <c r="D29" s="10" t="s">
        <v>99</v>
      </c>
      <c r="E29" s="10" t="s">
        <v>101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0" t="s">
        <v>96</v>
      </c>
      <c r="B30" s="10" t="s">
        <v>102</v>
      </c>
      <c r="C30" s="12" t="s">
        <v>103</v>
      </c>
      <c r="D30" s="10" t="s">
        <v>99</v>
      </c>
      <c r="E30" s="10" t="s">
        <v>104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0" t="s">
        <v>96</v>
      </c>
      <c r="B31" s="10" t="s">
        <v>102</v>
      </c>
      <c r="C31" s="12" t="s">
        <v>103</v>
      </c>
      <c r="D31" s="10" t="s">
        <v>99</v>
      </c>
      <c r="E31" s="10" t="s">
        <v>105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0" t="s">
        <v>96</v>
      </c>
      <c r="B32" s="10" t="s">
        <v>106</v>
      </c>
      <c r="C32" s="12" t="s">
        <v>107</v>
      </c>
      <c r="D32" s="10" t="s">
        <v>99</v>
      </c>
      <c r="E32" s="10" t="s">
        <v>108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0" t="s">
        <v>96</v>
      </c>
      <c r="B33" s="10" t="s">
        <v>106</v>
      </c>
      <c r="C33" s="12" t="s">
        <v>107</v>
      </c>
      <c r="D33" s="10" t="s">
        <v>109</v>
      </c>
      <c r="E33" s="10" t="s">
        <v>110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0" t="s">
        <v>96</v>
      </c>
      <c r="B34" s="10" t="s">
        <v>111</v>
      </c>
      <c r="C34" s="12" t="s">
        <v>112</v>
      </c>
      <c r="D34" s="10" t="s">
        <v>99</v>
      </c>
      <c r="E34" s="10" t="s">
        <v>113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0" t="s">
        <v>96</v>
      </c>
      <c r="B35" s="10" t="s">
        <v>111</v>
      </c>
      <c r="C35" s="12" t="s">
        <v>112</v>
      </c>
      <c r="D35" s="10" t="s">
        <v>99</v>
      </c>
      <c r="E35" s="10" t="s">
        <v>114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0" t="s">
        <v>96</v>
      </c>
      <c r="B36" s="10" t="s">
        <v>115</v>
      </c>
      <c r="C36" s="12" t="s">
        <v>116</v>
      </c>
      <c r="D36" s="10" t="s">
        <v>39</v>
      </c>
      <c r="E36" s="10" t="s">
        <v>117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0" t="s">
        <v>96</v>
      </c>
      <c r="B37" s="10" t="s">
        <v>115</v>
      </c>
      <c r="C37" s="12" t="s">
        <v>116</v>
      </c>
      <c r="D37" s="10" t="s">
        <v>39</v>
      </c>
      <c r="E37" s="10" t="s">
        <v>118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0" t="s">
        <v>96</v>
      </c>
      <c r="B38" s="10" t="s">
        <v>119</v>
      </c>
      <c r="C38" s="12" t="s">
        <v>120</v>
      </c>
      <c r="D38" s="10" t="s">
        <v>121</v>
      </c>
      <c r="E38" s="10" t="s">
        <v>122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0" t="s">
        <v>96</v>
      </c>
      <c r="B39" s="10" t="s">
        <v>119</v>
      </c>
      <c r="C39" s="12" t="s">
        <v>120</v>
      </c>
      <c r="D39" s="10" t="s">
        <v>123</v>
      </c>
      <c r="E39" s="10" t="s">
        <v>124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0" t="s">
        <v>96</v>
      </c>
      <c r="B40" s="10" t="s">
        <v>125</v>
      </c>
      <c r="C40" s="12" t="s">
        <v>126</v>
      </c>
      <c r="D40" s="10" t="s">
        <v>121</v>
      </c>
      <c r="E40" s="10" t="s">
        <v>127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0" t="s">
        <v>96</v>
      </c>
      <c r="B41" s="10" t="s">
        <v>125</v>
      </c>
      <c r="C41" s="12" t="s">
        <v>126</v>
      </c>
      <c r="D41" s="10" t="s">
        <v>121</v>
      </c>
      <c r="E41" s="10" t="s">
        <v>128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0" t="s">
        <v>96</v>
      </c>
      <c r="B42" s="10" t="s">
        <v>129</v>
      </c>
      <c r="C42" s="12" t="s">
        <v>130</v>
      </c>
      <c r="D42" s="10" t="s">
        <v>39</v>
      </c>
      <c r="E42" s="10" t="s">
        <v>131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0" t="s">
        <v>96</v>
      </c>
      <c r="B43" s="10" t="s">
        <v>129</v>
      </c>
      <c r="C43" s="12" t="s">
        <v>130</v>
      </c>
      <c r="D43" s="10" t="s">
        <v>39</v>
      </c>
      <c r="E43" s="10" t="s">
        <v>132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0" t="s">
        <v>96</v>
      </c>
      <c r="B44" s="10" t="s">
        <v>133</v>
      </c>
      <c r="C44" s="12" t="s">
        <v>134</v>
      </c>
      <c r="D44" s="10" t="s">
        <v>99</v>
      </c>
      <c r="E44" s="10" t="s">
        <v>135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0" t="s">
        <v>96</v>
      </c>
      <c r="B45" s="10" t="s">
        <v>133</v>
      </c>
      <c r="C45" s="12" t="s">
        <v>134</v>
      </c>
      <c r="D45" s="10" t="s">
        <v>136</v>
      </c>
      <c r="E45" s="10" t="s">
        <v>137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0" t="s">
        <v>96</v>
      </c>
      <c r="B46" s="10" t="s">
        <v>138</v>
      </c>
      <c r="C46" s="12" t="s">
        <v>139</v>
      </c>
      <c r="D46" s="10" t="s">
        <v>99</v>
      </c>
      <c r="E46" s="10" t="s">
        <v>140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0" t="s">
        <v>96</v>
      </c>
      <c r="B47" s="10" t="s">
        <v>138</v>
      </c>
      <c r="C47" s="12" t="s">
        <v>139</v>
      </c>
      <c r="D47" s="10" t="s">
        <v>141</v>
      </c>
      <c r="E47" s="10" t="s">
        <v>142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0" t="s">
        <v>143</v>
      </c>
      <c r="B48" s="10" t="s">
        <v>144</v>
      </c>
      <c r="C48" s="12" t="s">
        <v>145</v>
      </c>
      <c r="D48" s="10" t="s">
        <v>39</v>
      </c>
      <c r="E48" s="10" t="s">
        <v>146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0" t="s">
        <v>143</v>
      </c>
      <c r="B49" s="10" t="s">
        <v>144</v>
      </c>
      <c r="C49" s="12" t="s">
        <v>145</v>
      </c>
      <c r="D49" s="10" t="s">
        <v>39</v>
      </c>
      <c r="E49" s="10" t="s">
        <v>147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0" t="s">
        <v>143</v>
      </c>
      <c r="B50" s="10" t="s">
        <v>148</v>
      </c>
      <c r="C50" s="12" t="s">
        <v>149</v>
      </c>
      <c r="D50" s="10" t="s">
        <v>24</v>
      </c>
      <c r="E50" s="10" t="s">
        <v>150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0" t="s">
        <v>143</v>
      </c>
      <c r="B51" s="10" t="s">
        <v>151</v>
      </c>
      <c r="C51" s="12" t="s">
        <v>152</v>
      </c>
      <c r="D51" s="10" t="s">
        <v>24</v>
      </c>
      <c r="E51" s="10" t="s">
        <v>153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0" t="s">
        <v>143</v>
      </c>
      <c r="B52" s="10" t="s">
        <v>148</v>
      </c>
      <c r="C52" s="12" t="s">
        <v>149</v>
      </c>
      <c r="D52" s="10" t="s">
        <v>24</v>
      </c>
      <c r="E52" s="10" t="s">
        <v>154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0" t="s">
        <v>143</v>
      </c>
      <c r="B53" s="10" t="s">
        <v>155</v>
      </c>
      <c r="C53" s="12" t="s">
        <v>156</v>
      </c>
      <c r="D53" s="10" t="s">
        <v>24</v>
      </c>
      <c r="E53" s="10" t="s">
        <v>157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0" t="s">
        <v>143</v>
      </c>
      <c r="B54" s="10" t="s">
        <v>151</v>
      </c>
      <c r="C54" s="12" t="s">
        <v>152</v>
      </c>
      <c r="D54" s="10" t="s">
        <v>24</v>
      </c>
      <c r="E54" s="10" t="s">
        <v>158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0" t="s">
        <v>143</v>
      </c>
      <c r="B55" s="10" t="s">
        <v>159</v>
      </c>
      <c r="C55" s="12" t="s">
        <v>160</v>
      </c>
      <c r="D55" s="10" t="s">
        <v>24</v>
      </c>
      <c r="E55" s="10" t="s">
        <v>161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0" t="s">
        <v>143</v>
      </c>
      <c r="B56" s="10" t="s">
        <v>155</v>
      </c>
      <c r="C56" s="12" t="s">
        <v>156</v>
      </c>
      <c r="D56" s="10" t="s">
        <v>24</v>
      </c>
      <c r="E56" s="10" t="s">
        <v>162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0" t="s">
        <v>143</v>
      </c>
      <c r="B57" s="10" t="s">
        <v>163</v>
      </c>
      <c r="C57" s="12" t="s">
        <v>164</v>
      </c>
      <c r="D57" s="10" t="s">
        <v>165</v>
      </c>
      <c r="E57" s="10" t="s">
        <v>166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0" t="s">
        <v>143</v>
      </c>
      <c r="B58" s="10" t="s">
        <v>159</v>
      </c>
      <c r="C58" s="12" t="s">
        <v>160</v>
      </c>
      <c r="D58" s="10" t="s">
        <v>24</v>
      </c>
      <c r="E58" s="10" t="s">
        <v>167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0" t="s">
        <v>143</v>
      </c>
      <c r="B59" s="10" t="s">
        <v>168</v>
      </c>
      <c r="C59" s="12" t="s">
        <v>169</v>
      </c>
      <c r="D59" s="10" t="s">
        <v>170</v>
      </c>
      <c r="E59" s="10" t="s">
        <v>171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0" t="s">
        <v>143</v>
      </c>
      <c r="B60" s="10" t="s">
        <v>163</v>
      </c>
      <c r="C60" s="12" t="s">
        <v>164</v>
      </c>
      <c r="D60" s="10" t="s">
        <v>24</v>
      </c>
      <c r="E60" s="10" t="s">
        <v>172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0" t="s">
        <v>173</v>
      </c>
      <c r="B61" s="10" t="s">
        <v>174</v>
      </c>
      <c r="C61" s="12" t="s">
        <v>175</v>
      </c>
      <c r="D61" s="10" t="s">
        <v>99</v>
      </c>
      <c r="E61" s="10" t="s">
        <v>176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0" t="s">
        <v>143</v>
      </c>
      <c r="B62" s="10" t="s">
        <v>168</v>
      </c>
      <c r="C62" s="12" t="s">
        <v>169</v>
      </c>
      <c r="D62" s="10" t="s">
        <v>24</v>
      </c>
      <c r="E62" s="10" t="s">
        <v>177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0" t="s">
        <v>173</v>
      </c>
      <c r="B63" s="10" t="s">
        <v>178</v>
      </c>
      <c r="C63" s="12" t="s">
        <v>179</v>
      </c>
      <c r="D63" s="10" t="s">
        <v>180</v>
      </c>
      <c r="E63" s="10" t="s">
        <v>181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0" t="s">
        <v>173</v>
      </c>
      <c r="B64" s="10" t="s">
        <v>174</v>
      </c>
      <c r="C64" s="12" t="s">
        <v>175</v>
      </c>
      <c r="D64" s="10" t="s">
        <v>99</v>
      </c>
      <c r="E64" s="10" t="s">
        <v>182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0" t="s">
        <v>173</v>
      </c>
      <c r="B65" s="10" t="s">
        <v>183</v>
      </c>
      <c r="C65" s="12" t="s">
        <v>184</v>
      </c>
      <c r="D65" s="10" t="s">
        <v>35</v>
      </c>
      <c r="E65" s="10" t="s">
        <v>185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0" t="s">
        <v>173</v>
      </c>
      <c r="B66" s="10" t="s">
        <v>178</v>
      </c>
      <c r="C66" s="12" t="s">
        <v>179</v>
      </c>
      <c r="D66" s="10" t="s">
        <v>186</v>
      </c>
      <c r="E66" s="10" t="s">
        <v>187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0" t="s">
        <v>173</v>
      </c>
      <c r="B67" s="10" t="s">
        <v>188</v>
      </c>
      <c r="C67" s="12" t="s">
        <v>189</v>
      </c>
      <c r="D67" s="10" t="s">
        <v>99</v>
      </c>
      <c r="E67" s="10" t="s">
        <v>190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0" t="s">
        <v>173</v>
      </c>
      <c r="B68" s="10" t="s">
        <v>183</v>
      </c>
      <c r="C68" s="12" t="s">
        <v>184</v>
      </c>
      <c r="D68" s="10" t="s">
        <v>191</v>
      </c>
      <c r="E68" s="10" t="s">
        <v>192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0" t="s">
        <v>173</v>
      </c>
      <c r="B69" s="10" t="s">
        <v>193</v>
      </c>
      <c r="C69" s="12" t="s">
        <v>194</v>
      </c>
      <c r="D69" s="10" t="s">
        <v>39</v>
      </c>
      <c r="E69" s="10" t="s">
        <v>195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0" t="s">
        <v>173</v>
      </c>
      <c r="B70" s="10" t="s">
        <v>188</v>
      </c>
      <c r="C70" s="12" t="s">
        <v>189</v>
      </c>
      <c r="D70" s="10" t="s">
        <v>99</v>
      </c>
      <c r="E70" s="10" t="s">
        <v>196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0" t="s">
        <v>173</v>
      </c>
      <c r="B71" s="10" t="s">
        <v>193</v>
      </c>
      <c r="C71" s="12" t="s">
        <v>194</v>
      </c>
      <c r="D71" s="10" t="s">
        <v>39</v>
      </c>
      <c r="E71" s="10" t="s">
        <v>197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0" t="s">
        <v>198</v>
      </c>
      <c r="B72" s="10" t="s">
        <v>199</v>
      </c>
      <c r="C72" s="12" t="s">
        <v>200</v>
      </c>
      <c r="D72" s="10" t="s">
        <v>201</v>
      </c>
      <c r="E72" s="10" t="s">
        <v>202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0" t="s">
        <v>198</v>
      </c>
      <c r="B73" s="10" t="s">
        <v>203</v>
      </c>
      <c r="C73" s="12" t="s">
        <v>204</v>
      </c>
      <c r="D73" s="10" t="s">
        <v>99</v>
      </c>
      <c r="E73" s="10" t="s">
        <v>205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0" t="s">
        <v>198</v>
      </c>
      <c r="B74" s="10" t="s">
        <v>199</v>
      </c>
      <c r="C74" s="12" t="s">
        <v>200</v>
      </c>
      <c r="D74" s="10" t="s">
        <v>206</v>
      </c>
      <c r="E74" s="10" t="s">
        <v>207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0" t="s">
        <v>198</v>
      </c>
      <c r="B75" s="10" t="s">
        <v>208</v>
      </c>
      <c r="C75" s="12" t="s">
        <v>209</v>
      </c>
      <c r="D75" s="10" t="s">
        <v>99</v>
      </c>
      <c r="E75" s="10" t="s">
        <v>210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0" t="s">
        <v>198</v>
      </c>
      <c r="B76" s="10" t="s">
        <v>203</v>
      </c>
      <c r="C76" s="12" t="s">
        <v>204</v>
      </c>
      <c r="D76" s="10" t="s">
        <v>99</v>
      </c>
      <c r="E76" s="10" t="s">
        <v>211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0" t="s">
        <v>198</v>
      </c>
      <c r="B77" s="10" t="s">
        <v>212</v>
      </c>
      <c r="C77" s="12" t="s">
        <v>213</v>
      </c>
      <c r="D77" s="10" t="s">
        <v>35</v>
      </c>
      <c r="E77" s="10" t="s">
        <v>214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0" t="s">
        <v>198</v>
      </c>
      <c r="B78" s="10" t="s">
        <v>208</v>
      </c>
      <c r="C78" s="12" t="s">
        <v>209</v>
      </c>
      <c r="D78" s="10" t="s">
        <v>215</v>
      </c>
      <c r="E78" s="10" t="s">
        <v>216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0" t="s">
        <v>198</v>
      </c>
      <c r="B79" s="10" t="s">
        <v>217</v>
      </c>
      <c r="C79" s="12" t="s">
        <v>218</v>
      </c>
      <c r="D79" s="10" t="s">
        <v>121</v>
      </c>
      <c r="E79" s="10" t="s">
        <v>219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0" t="s">
        <v>198</v>
      </c>
      <c r="B80" s="10" t="s">
        <v>212</v>
      </c>
      <c r="C80" s="12" t="s">
        <v>213</v>
      </c>
      <c r="D80" s="10" t="s">
        <v>220</v>
      </c>
      <c r="E80" s="10" t="s">
        <v>221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0" t="s">
        <v>198</v>
      </c>
      <c r="B81" s="10" t="s">
        <v>222</v>
      </c>
      <c r="C81" s="12" t="s">
        <v>223</v>
      </c>
      <c r="D81" s="10" t="s">
        <v>39</v>
      </c>
      <c r="E81" s="10" t="s">
        <v>224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0" t="s">
        <v>198</v>
      </c>
      <c r="B82" s="10" t="s">
        <v>217</v>
      </c>
      <c r="C82" s="12" t="s">
        <v>218</v>
      </c>
      <c r="D82" s="10" t="s">
        <v>225</v>
      </c>
      <c r="E82" s="10" t="s">
        <v>226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0" t="s">
        <v>198</v>
      </c>
      <c r="B83" s="10" t="s">
        <v>227</v>
      </c>
      <c r="C83" s="12" t="s">
        <v>228</v>
      </c>
      <c r="D83" s="10" t="s">
        <v>39</v>
      </c>
      <c r="E83" s="10" t="s">
        <v>229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0" t="s">
        <v>198</v>
      </c>
      <c r="B84" s="10" t="s">
        <v>230</v>
      </c>
      <c r="C84" s="12" t="s">
        <v>231</v>
      </c>
      <c r="D84" s="10" t="s">
        <v>232</v>
      </c>
      <c r="E84" s="10" t="s">
        <v>233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0" t="s">
        <v>198</v>
      </c>
      <c r="B85" s="10" t="s">
        <v>222</v>
      </c>
      <c r="C85" s="12" t="s">
        <v>223</v>
      </c>
      <c r="D85" s="10" t="s">
        <v>39</v>
      </c>
      <c r="E85" s="10" t="s">
        <v>234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0" t="s">
        <v>198</v>
      </c>
      <c r="B86" s="10" t="s">
        <v>235</v>
      </c>
      <c r="C86" s="12" t="s">
        <v>236</v>
      </c>
      <c r="D86" s="10" t="s">
        <v>39</v>
      </c>
      <c r="E86" s="10" t="s">
        <v>237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0" t="s">
        <v>198</v>
      </c>
      <c r="B87" s="10" t="s">
        <v>227</v>
      </c>
      <c r="C87" s="12" t="s">
        <v>228</v>
      </c>
      <c r="D87" s="10" t="s">
        <v>39</v>
      </c>
      <c r="E87" s="10" t="s">
        <v>238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0" t="s">
        <v>198</v>
      </c>
      <c r="B88" s="10" t="s">
        <v>239</v>
      </c>
      <c r="C88" s="12" t="s">
        <v>240</v>
      </c>
      <c r="D88" s="10" t="s">
        <v>121</v>
      </c>
      <c r="E88" s="10" t="s">
        <v>241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0" t="s">
        <v>198</v>
      </c>
      <c r="B89" s="10" t="s">
        <v>230</v>
      </c>
      <c r="C89" s="12" t="s">
        <v>231</v>
      </c>
      <c r="D89" s="10" t="s">
        <v>242</v>
      </c>
      <c r="E89" s="10" t="s">
        <v>243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0" t="s">
        <v>198</v>
      </c>
      <c r="B90" s="10" t="s">
        <v>235</v>
      </c>
      <c r="C90" s="12" t="s">
        <v>236</v>
      </c>
      <c r="D90" s="10" t="s">
        <v>39</v>
      </c>
      <c r="E90" s="10" t="s">
        <v>244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0" t="s">
        <v>198</v>
      </c>
      <c r="B91" s="10" t="s">
        <v>245</v>
      </c>
      <c r="C91" s="12" t="s">
        <v>246</v>
      </c>
      <c r="D91" s="10" t="s">
        <v>247</v>
      </c>
      <c r="E91" s="10" t="s">
        <v>248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0" t="s">
        <v>198</v>
      </c>
      <c r="B92" s="10" t="s">
        <v>239</v>
      </c>
      <c r="C92" s="12" t="s">
        <v>240</v>
      </c>
      <c r="D92" s="10" t="s">
        <v>121</v>
      </c>
      <c r="E92" s="10" t="s">
        <v>249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0" t="s">
        <v>198</v>
      </c>
      <c r="B93" s="10" t="s">
        <v>250</v>
      </c>
      <c r="C93" s="12" t="s">
        <v>251</v>
      </c>
      <c r="D93" s="10" t="s">
        <v>252</v>
      </c>
      <c r="E93" s="10" t="s">
        <v>253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0" t="s">
        <v>198</v>
      </c>
      <c r="B94" s="10" t="s">
        <v>245</v>
      </c>
      <c r="C94" s="12" t="s">
        <v>246</v>
      </c>
      <c r="D94" s="10" t="s">
        <v>121</v>
      </c>
      <c r="E94" s="10" t="s">
        <v>254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0" t="s">
        <v>60</v>
      </c>
      <c r="B95" s="10" t="s">
        <v>92</v>
      </c>
      <c r="C95" s="12" t="s">
        <v>255</v>
      </c>
      <c r="D95" s="10" t="s">
        <v>24</v>
      </c>
      <c r="E95" s="10" t="s">
        <v>256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0" t="s">
        <v>60</v>
      </c>
      <c r="B96" s="10" t="s">
        <v>88</v>
      </c>
      <c r="C96" s="12" t="s">
        <v>257</v>
      </c>
      <c r="D96" s="10" t="s">
        <v>24</v>
      </c>
      <c r="E96" s="10" t="s">
        <v>258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0" t="s">
        <v>198</v>
      </c>
      <c r="B97" s="10" t="s">
        <v>250</v>
      </c>
      <c r="C97" s="12" t="s">
        <v>251</v>
      </c>
      <c r="D97" s="10" t="s">
        <v>259</v>
      </c>
      <c r="E97" s="10" t="s">
        <v>260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0" t="s">
        <v>60</v>
      </c>
      <c r="B98" s="10" t="s">
        <v>92</v>
      </c>
      <c r="C98" s="12" t="s">
        <v>255</v>
      </c>
      <c r="D98" s="10" t="s">
        <v>24</v>
      </c>
      <c r="E98" s="10" t="s">
        <v>261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0" t="s">
        <v>60</v>
      </c>
      <c r="B99" s="10" t="s">
        <v>84</v>
      </c>
      <c r="C99" s="12" t="s">
        <v>262</v>
      </c>
      <c r="D99" s="10" t="s">
        <v>24</v>
      </c>
      <c r="E99" s="10" t="s">
        <v>263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0" t="s">
        <v>60</v>
      </c>
      <c r="B100" s="10" t="s">
        <v>88</v>
      </c>
      <c r="C100" s="12" t="s">
        <v>257</v>
      </c>
      <c r="D100" s="10" t="s">
        <v>24</v>
      </c>
      <c r="E100" s="10" t="s">
        <v>264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0" t="s">
        <v>60</v>
      </c>
      <c r="B101" s="10" t="s">
        <v>80</v>
      </c>
      <c r="C101" s="12" t="s">
        <v>265</v>
      </c>
      <c r="D101" s="10" t="s">
        <v>24</v>
      </c>
      <c r="E101" s="10" t="s">
        <v>266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0" t="s">
        <v>60</v>
      </c>
      <c r="B102" s="10" t="s">
        <v>84</v>
      </c>
      <c r="C102" s="12" t="s">
        <v>262</v>
      </c>
      <c r="D102" s="10" t="s">
        <v>24</v>
      </c>
      <c r="E102" s="10" t="s">
        <v>267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0" t="s">
        <v>60</v>
      </c>
      <c r="B103" s="10" t="s">
        <v>76</v>
      </c>
      <c r="C103" s="12" t="s">
        <v>268</v>
      </c>
      <c r="D103" s="10" t="s">
        <v>24</v>
      </c>
      <c r="E103" s="10" t="s">
        <v>269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0" t="s">
        <v>60</v>
      </c>
      <c r="B104" s="10" t="s">
        <v>80</v>
      </c>
      <c r="C104" s="12" t="s">
        <v>265</v>
      </c>
      <c r="D104" s="10" t="s">
        <v>24</v>
      </c>
      <c r="E104" s="10" t="s">
        <v>270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0" t="s">
        <v>60</v>
      </c>
      <c r="B105" s="10" t="s">
        <v>76</v>
      </c>
      <c r="C105" s="12" t="s">
        <v>268</v>
      </c>
      <c r="D105" s="10" t="s">
        <v>24</v>
      </c>
      <c r="E105" s="10" t="s">
        <v>271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0" t="s">
        <v>60</v>
      </c>
      <c r="B106" s="10" t="s">
        <v>73</v>
      </c>
      <c r="C106" s="12" t="s">
        <v>272</v>
      </c>
      <c r="D106" s="10" t="s">
        <v>273</v>
      </c>
      <c r="E106" s="10" t="s">
        <v>274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0" t="s">
        <v>60</v>
      </c>
      <c r="B107" s="10" t="s">
        <v>70</v>
      </c>
      <c r="C107" s="12" t="s">
        <v>275</v>
      </c>
      <c r="D107" s="10" t="s">
        <v>31</v>
      </c>
      <c r="E107" s="10" t="s">
        <v>276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0" t="s">
        <v>60</v>
      </c>
      <c r="B108" s="10" t="s">
        <v>64</v>
      </c>
      <c r="C108" s="12" t="s">
        <v>277</v>
      </c>
      <c r="D108" s="10" t="s">
        <v>39</v>
      </c>
      <c r="E108" s="10" t="s">
        <v>278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0" t="s">
        <v>60</v>
      </c>
      <c r="B109" s="10" t="s">
        <v>67</v>
      </c>
      <c r="C109" s="12" t="s">
        <v>279</v>
      </c>
      <c r="D109" s="10" t="s">
        <v>31</v>
      </c>
      <c r="E109" s="10" t="s">
        <v>280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0" t="s">
        <v>60</v>
      </c>
      <c r="B110" s="10" t="s">
        <v>61</v>
      </c>
      <c r="C110" s="12" t="s">
        <v>281</v>
      </c>
      <c r="D110" s="10" t="s">
        <v>39</v>
      </c>
      <c r="E110" s="10" t="s">
        <v>282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0" t="s">
        <v>96</v>
      </c>
      <c r="B111" s="10" t="s">
        <v>102</v>
      </c>
      <c r="C111" s="12" t="s">
        <v>283</v>
      </c>
      <c r="D111" s="10" t="s">
        <v>24</v>
      </c>
      <c r="E111" s="10" t="s">
        <v>284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0" t="s">
        <v>96</v>
      </c>
      <c r="B112" s="10" t="s">
        <v>97</v>
      </c>
      <c r="C112" s="12" t="s">
        <v>285</v>
      </c>
      <c r="D112" s="10" t="s">
        <v>24</v>
      </c>
      <c r="E112" s="10" t="s">
        <v>286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0" t="s">
        <v>96</v>
      </c>
      <c r="B113" s="10" t="s">
        <v>111</v>
      </c>
      <c r="C113" s="12" t="s">
        <v>287</v>
      </c>
      <c r="D113" s="10" t="s">
        <v>24</v>
      </c>
      <c r="E113" s="10" t="s">
        <v>288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0" t="s">
        <v>96</v>
      </c>
      <c r="B114" s="10" t="s">
        <v>129</v>
      </c>
      <c r="C114" s="12" t="s">
        <v>289</v>
      </c>
      <c r="D114" s="10" t="s">
        <v>39</v>
      </c>
      <c r="E114" s="10" t="s">
        <v>290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0" t="s">
        <v>96</v>
      </c>
      <c r="B115" s="10" t="s">
        <v>115</v>
      </c>
      <c r="C115" s="12" t="s">
        <v>291</v>
      </c>
      <c r="D115" s="10" t="s">
        <v>39</v>
      </c>
      <c r="E115" s="10" t="s">
        <v>292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0" t="s">
        <v>96</v>
      </c>
      <c r="B116" s="10" t="s">
        <v>119</v>
      </c>
      <c r="C116" s="12" t="s">
        <v>293</v>
      </c>
      <c r="D116" s="10" t="s">
        <v>294</v>
      </c>
      <c r="E116" s="10" t="s">
        <v>295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0" t="s">
        <v>96</v>
      </c>
      <c r="B117" s="10" t="s">
        <v>125</v>
      </c>
      <c r="C117" s="12" t="s">
        <v>296</v>
      </c>
      <c r="D117" s="10" t="s">
        <v>297</v>
      </c>
      <c r="E117" s="10" t="s">
        <v>298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0" t="s">
        <v>96</v>
      </c>
      <c r="B118" s="10" t="s">
        <v>106</v>
      </c>
      <c r="C118" s="12" t="s">
        <v>299</v>
      </c>
      <c r="D118" s="10" t="s">
        <v>24</v>
      </c>
      <c r="E118" s="10" t="s">
        <v>300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0" t="s">
        <v>96</v>
      </c>
      <c r="B119" s="10" t="s">
        <v>138</v>
      </c>
      <c r="C119" s="12" t="s">
        <v>301</v>
      </c>
      <c r="D119" s="10" t="s">
        <v>24</v>
      </c>
      <c r="E119" s="10" t="s">
        <v>302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0" t="s">
        <v>96</v>
      </c>
      <c r="B120" s="10" t="s">
        <v>133</v>
      </c>
      <c r="C120" s="12" t="s">
        <v>303</v>
      </c>
      <c r="D120" s="10" t="s">
        <v>304</v>
      </c>
      <c r="E120" s="10" t="s">
        <v>305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0" t="s">
        <v>306</v>
      </c>
      <c r="B121" s="10" t="s">
        <v>307</v>
      </c>
      <c r="C121" s="12" t="s">
        <v>308</v>
      </c>
      <c r="D121" s="10" t="s">
        <v>24</v>
      </c>
      <c r="E121" s="10" t="s">
        <v>309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0" t="s">
        <v>306</v>
      </c>
      <c r="B122" s="10" t="s">
        <v>310</v>
      </c>
      <c r="C122" s="12" t="s">
        <v>311</v>
      </c>
      <c r="D122" s="10" t="s">
        <v>31</v>
      </c>
      <c r="E122" s="10" t="s">
        <v>312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0" t="s">
        <v>306</v>
      </c>
      <c r="B123" s="10" t="s">
        <v>313</v>
      </c>
      <c r="C123" s="12" t="s">
        <v>314</v>
      </c>
      <c r="D123" s="10" t="s">
        <v>24</v>
      </c>
      <c r="E123" s="10" t="s">
        <v>315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0" t="s">
        <v>306</v>
      </c>
      <c r="B124" s="10" t="s">
        <v>316</v>
      </c>
      <c r="C124" s="12" t="s">
        <v>317</v>
      </c>
      <c r="D124" s="10" t="s">
        <v>39</v>
      </c>
      <c r="E124" s="10" t="s">
        <v>318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0" t="s">
        <v>306</v>
      </c>
      <c r="B125" s="10" t="s">
        <v>319</v>
      </c>
      <c r="C125" s="12" t="s">
        <v>320</v>
      </c>
      <c r="D125" s="10" t="s">
        <v>39</v>
      </c>
      <c r="E125" s="10" t="s">
        <v>321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0" t="s">
        <v>306</v>
      </c>
      <c r="B126" s="10" t="s">
        <v>322</v>
      </c>
      <c r="C126" s="12" t="s">
        <v>323</v>
      </c>
      <c r="D126" s="10" t="s">
        <v>31</v>
      </c>
      <c r="E126" s="10" t="s">
        <v>324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0" t="s">
        <v>306</v>
      </c>
      <c r="B127" s="10" t="s">
        <v>325</v>
      </c>
      <c r="C127" s="12" t="s">
        <v>326</v>
      </c>
      <c r="D127" s="10" t="s">
        <v>24</v>
      </c>
      <c r="E127" s="10" t="s">
        <v>327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0" t="s">
        <v>306</v>
      </c>
      <c r="B128" s="10" t="s">
        <v>328</v>
      </c>
      <c r="C128" s="12" t="s">
        <v>329</v>
      </c>
      <c r="D128" s="10" t="s">
        <v>24</v>
      </c>
      <c r="E128" s="10" t="s">
        <v>330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0" t="s">
        <v>306</v>
      </c>
      <c r="B129" s="10" t="s">
        <v>331</v>
      </c>
      <c r="C129" s="12" t="s">
        <v>332</v>
      </c>
      <c r="D129" s="10" t="s">
        <v>24</v>
      </c>
      <c r="E129" s="10" t="s">
        <v>333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0" t="s">
        <v>306</v>
      </c>
      <c r="B130" s="10" t="s">
        <v>334</v>
      </c>
      <c r="C130" s="12" t="s">
        <v>335</v>
      </c>
      <c r="D130" s="10" t="s">
        <v>24</v>
      </c>
      <c r="E130" s="10" t="s">
        <v>336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0" t="s">
        <v>60</v>
      </c>
      <c r="B131" s="10" t="s">
        <v>88</v>
      </c>
      <c r="C131" s="12" t="s">
        <v>337</v>
      </c>
      <c r="D131" s="10" t="s">
        <v>24</v>
      </c>
      <c r="E131" s="10" t="s">
        <v>338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0" t="s">
        <v>60</v>
      </c>
      <c r="B132" s="10" t="s">
        <v>80</v>
      </c>
      <c r="C132" s="12" t="s">
        <v>339</v>
      </c>
      <c r="D132" s="10" t="s">
        <v>24</v>
      </c>
      <c r="E132" s="10" t="s">
        <v>340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0" t="s">
        <v>60</v>
      </c>
      <c r="B133" s="10" t="s">
        <v>76</v>
      </c>
      <c r="C133" s="12" t="s">
        <v>341</v>
      </c>
      <c r="D133" s="10" t="s">
        <v>24</v>
      </c>
      <c r="E133" s="10" t="s">
        <v>342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0" t="s">
        <v>60</v>
      </c>
      <c r="B134" s="10" t="s">
        <v>343</v>
      </c>
      <c r="C134" s="12" t="s">
        <v>344</v>
      </c>
      <c r="D134" s="10" t="s">
        <v>24</v>
      </c>
      <c r="E134" s="10" t="s">
        <v>345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0" t="s">
        <v>60</v>
      </c>
      <c r="B135" s="10" t="s">
        <v>64</v>
      </c>
      <c r="C135" s="12" t="s">
        <v>346</v>
      </c>
      <c r="D135" s="10" t="s">
        <v>39</v>
      </c>
      <c r="E135" s="10" t="s">
        <v>347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0" t="s">
        <v>60</v>
      </c>
      <c r="B136" s="10" t="s">
        <v>61</v>
      </c>
      <c r="C136" s="12" t="s">
        <v>348</v>
      </c>
      <c r="D136" s="10" t="s">
        <v>39</v>
      </c>
      <c r="E136" s="10" t="s">
        <v>349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0" t="s">
        <v>60</v>
      </c>
      <c r="B137" s="10" t="s">
        <v>67</v>
      </c>
      <c r="C137" s="12" t="s">
        <v>350</v>
      </c>
      <c r="D137" s="10" t="s">
        <v>351</v>
      </c>
      <c r="E137" s="10" t="s">
        <v>352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0" t="s">
        <v>60</v>
      </c>
      <c r="B138" s="10" t="s">
        <v>84</v>
      </c>
      <c r="C138" s="12" t="s">
        <v>353</v>
      </c>
      <c r="D138" s="10" t="s">
        <v>354</v>
      </c>
      <c r="E138" s="10" t="s">
        <v>355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0" t="s">
        <v>60</v>
      </c>
      <c r="B139" s="10" t="s">
        <v>70</v>
      </c>
      <c r="C139" s="12" t="s">
        <v>356</v>
      </c>
      <c r="D139" s="10" t="s">
        <v>357</v>
      </c>
      <c r="E139" s="10" t="s">
        <v>358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0" t="s">
        <v>96</v>
      </c>
      <c r="B140" s="10" t="s">
        <v>102</v>
      </c>
      <c r="C140" s="12" t="s">
        <v>359</v>
      </c>
      <c r="D140" s="10" t="s">
        <v>24</v>
      </c>
      <c r="E140" s="10" t="s">
        <v>360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0" t="s">
        <v>96</v>
      </c>
      <c r="B141" s="10" t="s">
        <v>97</v>
      </c>
      <c r="C141" s="12" t="s">
        <v>361</v>
      </c>
      <c r="D141" s="10" t="s">
        <v>24</v>
      </c>
      <c r="E141" s="10" t="s">
        <v>362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0" t="s">
        <v>96</v>
      </c>
      <c r="B142" s="10" t="s">
        <v>111</v>
      </c>
      <c r="C142" s="12" t="s">
        <v>363</v>
      </c>
      <c r="D142" s="10" t="s">
        <v>24</v>
      </c>
      <c r="E142" s="10" t="s">
        <v>364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0" t="s">
        <v>96</v>
      </c>
      <c r="B143" s="10" t="s">
        <v>106</v>
      </c>
      <c r="C143" s="12" t="s">
        <v>365</v>
      </c>
      <c r="D143" s="10" t="s">
        <v>24</v>
      </c>
      <c r="E143" s="10" t="s">
        <v>366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0" t="s">
        <v>96</v>
      </c>
      <c r="B144" s="10" t="s">
        <v>115</v>
      </c>
      <c r="C144" s="12" t="s">
        <v>367</v>
      </c>
      <c r="D144" s="10" t="s">
        <v>39</v>
      </c>
      <c r="E144" s="10" t="s">
        <v>368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0" t="s">
        <v>96</v>
      </c>
      <c r="B145" s="10" t="s">
        <v>119</v>
      </c>
      <c r="C145" s="12" t="s">
        <v>369</v>
      </c>
      <c r="D145" s="10" t="s">
        <v>357</v>
      </c>
      <c r="E145" s="10" t="s">
        <v>370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0" t="s">
        <v>96</v>
      </c>
      <c r="B146" s="10" t="s">
        <v>125</v>
      </c>
      <c r="C146" s="12" t="s">
        <v>371</v>
      </c>
      <c r="D146" s="10" t="s">
        <v>31</v>
      </c>
      <c r="E146" s="10" t="s">
        <v>372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0" t="s">
        <v>96</v>
      </c>
      <c r="B147" s="10" t="s">
        <v>373</v>
      </c>
      <c r="C147" s="12" t="s">
        <v>374</v>
      </c>
      <c r="D147" s="10" t="s">
        <v>24</v>
      </c>
      <c r="E147" s="10" t="s">
        <v>375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0" t="s">
        <v>96</v>
      </c>
      <c r="B148" s="10" t="s">
        <v>129</v>
      </c>
      <c r="C148" s="12" t="s">
        <v>376</v>
      </c>
      <c r="D148" s="10" t="s">
        <v>39</v>
      </c>
      <c r="E148" s="10" t="s">
        <v>377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0" t="s">
        <v>96</v>
      </c>
      <c r="B149" s="10" t="s">
        <v>138</v>
      </c>
      <c r="C149" s="12" t="s">
        <v>378</v>
      </c>
      <c r="D149" s="10" t="s">
        <v>379</v>
      </c>
      <c r="E149" s="10" t="s">
        <v>380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0" t="s">
        <v>381</v>
      </c>
      <c r="B150" s="10" t="s">
        <v>382</v>
      </c>
      <c r="C150" s="12" t="s">
        <v>383</v>
      </c>
      <c r="D150" s="10" t="s">
        <v>384</v>
      </c>
      <c r="E150" s="10" t="s">
        <v>385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0" t="s">
        <v>386</v>
      </c>
      <c r="B151" s="10" t="s">
        <v>387</v>
      </c>
      <c r="C151" s="12" t="s">
        <v>388</v>
      </c>
      <c r="D151" s="10" t="s">
        <v>99</v>
      </c>
      <c r="E151" s="10" t="s">
        <v>389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0" t="s">
        <v>386</v>
      </c>
      <c r="B152" s="10" t="s">
        <v>390</v>
      </c>
      <c r="C152" s="12" t="s">
        <v>391</v>
      </c>
      <c r="D152" s="10" t="s">
        <v>99</v>
      </c>
      <c r="E152" s="10" t="s">
        <v>392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0" t="s">
        <v>386</v>
      </c>
      <c r="B153" s="10" t="s">
        <v>393</v>
      </c>
      <c r="C153" s="12" t="s">
        <v>394</v>
      </c>
      <c r="D153" s="10" t="s">
        <v>99</v>
      </c>
      <c r="E153" s="10" t="s">
        <v>395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0" t="s">
        <v>386</v>
      </c>
      <c r="B154" s="10" t="s">
        <v>396</v>
      </c>
      <c r="C154" s="12" t="s">
        <v>397</v>
      </c>
      <c r="D154" s="10" t="s">
        <v>99</v>
      </c>
      <c r="E154" s="10" t="s">
        <v>398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0" t="s">
        <v>386</v>
      </c>
      <c r="B155" s="10" t="s">
        <v>399</v>
      </c>
      <c r="C155" s="12" t="s">
        <v>400</v>
      </c>
      <c r="D155" s="10" t="s">
        <v>39</v>
      </c>
      <c r="E155" s="10" t="s">
        <v>401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0" t="s">
        <v>386</v>
      </c>
      <c r="B156" s="10" t="s">
        <v>402</v>
      </c>
      <c r="C156" s="12" t="s">
        <v>403</v>
      </c>
      <c r="D156" s="10" t="s">
        <v>39</v>
      </c>
      <c r="E156" s="10" t="s">
        <v>404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0" t="s">
        <v>386</v>
      </c>
      <c r="B157" s="10" t="s">
        <v>405</v>
      </c>
      <c r="C157" s="12" t="s">
        <v>406</v>
      </c>
      <c r="D157" s="10" t="s">
        <v>121</v>
      </c>
      <c r="E157" s="10" t="s">
        <v>407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0" t="s">
        <v>386</v>
      </c>
      <c r="B158" s="10" t="s">
        <v>408</v>
      </c>
      <c r="C158" s="12" t="s">
        <v>409</v>
      </c>
      <c r="D158" s="10" t="s">
        <v>247</v>
      </c>
      <c r="E158" s="10" t="s">
        <v>410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0" t="s">
        <v>386</v>
      </c>
      <c r="B159" s="10" t="s">
        <v>411</v>
      </c>
      <c r="C159" s="12" t="s">
        <v>412</v>
      </c>
      <c r="D159" s="10" t="s">
        <v>123</v>
      </c>
      <c r="E159" s="10" t="s">
        <v>413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0" t="s">
        <v>386</v>
      </c>
      <c r="B160" s="10" t="s">
        <v>414</v>
      </c>
      <c r="C160" s="12" t="s">
        <v>415</v>
      </c>
      <c r="D160" s="10" t="s">
        <v>416</v>
      </c>
      <c r="E160" s="10" t="s">
        <v>417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0" t="s">
        <v>386</v>
      </c>
      <c r="B161" s="10" t="s">
        <v>418</v>
      </c>
      <c r="C161" s="12" t="s">
        <v>419</v>
      </c>
      <c r="D161" s="10" t="s">
        <v>39</v>
      </c>
      <c r="E161" s="10" t="s">
        <v>420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0" t="s">
        <v>381</v>
      </c>
      <c r="B162" s="10" t="s">
        <v>421</v>
      </c>
      <c r="C162" s="12" t="s">
        <v>422</v>
      </c>
      <c r="D162" s="10" t="s">
        <v>24</v>
      </c>
      <c r="E162" s="10" t="s">
        <v>423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0" t="s">
        <v>381</v>
      </c>
      <c r="B163" s="10" t="s">
        <v>424</v>
      </c>
      <c r="C163" s="12" t="s">
        <v>425</v>
      </c>
      <c r="D163" s="10" t="s">
        <v>24</v>
      </c>
      <c r="E163" s="10" t="s">
        <v>426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0" t="s">
        <v>381</v>
      </c>
      <c r="B164" s="10" t="s">
        <v>427</v>
      </c>
      <c r="C164" s="12" t="s">
        <v>428</v>
      </c>
      <c r="D164" s="10" t="s">
        <v>24</v>
      </c>
      <c r="E164" s="10" t="s">
        <v>429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0" t="s">
        <v>381</v>
      </c>
      <c r="B165" s="10" t="s">
        <v>430</v>
      </c>
      <c r="C165" s="12" t="s">
        <v>431</v>
      </c>
      <c r="D165" s="10" t="s">
        <v>39</v>
      </c>
      <c r="E165" s="10" t="s">
        <v>432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0" t="s">
        <v>381</v>
      </c>
      <c r="B166" s="10" t="s">
        <v>433</v>
      </c>
      <c r="C166" s="12" t="s">
        <v>434</v>
      </c>
      <c r="D166" s="10" t="s">
        <v>39</v>
      </c>
      <c r="E166" s="10" t="s">
        <v>435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0" t="s">
        <v>381</v>
      </c>
      <c r="B167" s="10" t="s">
        <v>436</v>
      </c>
      <c r="C167" s="12" t="s">
        <v>437</v>
      </c>
      <c r="D167" s="10" t="s">
        <v>31</v>
      </c>
      <c r="E167" s="10" t="s">
        <v>438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0" t="s">
        <v>381</v>
      </c>
      <c r="B168" s="10" t="s">
        <v>439</v>
      </c>
      <c r="C168" s="12" t="s">
        <v>440</v>
      </c>
      <c r="D168" s="10" t="s">
        <v>351</v>
      </c>
      <c r="E168" s="10" t="s">
        <v>441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0" t="s">
        <v>381</v>
      </c>
      <c r="B169" s="10" t="s">
        <v>442</v>
      </c>
      <c r="C169" s="12" t="s">
        <v>443</v>
      </c>
      <c r="D169" s="10" t="s">
        <v>31</v>
      </c>
      <c r="E169" s="10" t="s">
        <v>444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0" t="s">
        <v>381</v>
      </c>
      <c r="B170" s="10" t="s">
        <v>445</v>
      </c>
      <c r="C170" s="12" t="s">
        <v>446</v>
      </c>
      <c r="D170" s="10" t="s">
        <v>31</v>
      </c>
      <c r="E170" s="10" t="s">
        <v>447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0" t="s">
        <v>381</v>
      </c>
      <c r="B171" s="10" t="s">
        <v>448</v>
      </c>
      <c r="C171" s="12" t="s">
        <v>449</v>
      </c>
      <c r="D171" s="10" t="s">
        <v>39</v>
      </c>
      <c r="E171" s="10" t="s">
        <v>450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0" t="s">
        <v>451</v>
      </c>
      <c r="B172" s="10" t="s">
        <v>452</v>
      </c>
      <c r="C172" s="12" t="s">
        <v>453</v>
      </c>
      <c r="D172" s="10" t="s">
        <v>121</v>
      </c>
      <c r="E172" s="10" t="s">
        <v>454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0" t="s">
        <v>451</v>
      </c>
      <c r="B173" s="10" t="s">
        <v>455</v>
      </c>
      <c r="C173" s="12" t="s">
        <v>456</v>
      </c>
      <c r="D173" s="10" t="s">
        <v>121</v>
      </c>
      <c r="E173" s="10" t="s">
        <v>457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0" t="s">
        <v>451</v>
      </c>
      <c r="B174" s="10" t="s">
        <v>458</v>
      </c>
      <c r="C174" s="12" t="s">
        <v>459</v>
      </c>
      <c r="D174" s="10" t="s">
        <v>141</v>
      </c>
      <c r="E174" s="10" t="s">
        <v>460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0" t="s">
        <v>451</v>
      </c>
      <c r="B175" s="10" t="s">
        <v>461</v>
      </c>
      <c r="C175" s="12" t="s">
        <v>462</v>
      </c>
      <c r="D175" s="10" t="s">
        <v>99</v>
      </c>
      <c r="E175" s="10" t="s">
        <v>463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0" t="s">
        <v>451</v>
      </c>
      <c r="B176" s="10" t="s">
        <v>464</v>
      </c>
      <c r="C176" s="12" t="s">
        <v>465</v>
      </c>
      <c r="D176" s="10" t="s">
        <v>99</v>
      </c>
      <c r="E176" s="10" t="s">
        <v>466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0" t="s">
        <v>451</v>
      </c>
      <c r="B177" s="10" t="s">
        <v>467</v>
      </c>
      <c r="C177" s="12" t="s">
        <v>468</v>
      </c>
      <c r="D177" s="10" t="s">
        <v>99</v>
      </c>
      <c r="E177" s="10" t="s">
        <v>469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0" t="s">
        <v>451</v>
      </c>
      <c r="B178" s="10" t="s">
        <v>470</v>
      </c>
      <c r="C178" s="12" t="s">
        <v>471</v>
      </c>
      <c r="D178" s="10" t="s">
        <v>99</v>
      </c>
      <c r="E178" s="10" t="s">
        <v>472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0" t="s">
        <v>451</v>
      </c>
      <c r="B179" s="10" t="s">
        <v>473</v>
      </c>
      <c r="C179" s="12" t="s">
        <v>474</v>
      </c>
      <c r="D179" s="10" t="s">
        <v>99</v>
      </c>
      <c r="E179" s="10" t="s">
        <v>475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0" t="s">
        <v>451</v>
      </c>
      <c r="B180" s="10" t="s">
        <v>476</v>
      </c>
      <c r="C180" s="12" t="s">
        <v>477</v>
      </c>
      <c r="D180" s="10" t="s">
        <v>99</v>
      </c>
      <c r="E180" s="10" t="s">
        <v>478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0" t="s">
        <v>451</v>
      </c>
      <c r="B181" s="10" t="s">
        <v>479</v>
      </c>
      <c r="C181" s="12" t="s">
        <v>480</v>
      </c>
      <c r="D181" s="10" t="s">
        <v>99</v>
      </c>
      <c r="E181" s="10" t="s">
        <v>481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0" t="s">
        <v>451</v>
      </c>
      <c r="B182" s="10" t="s">
        <v>482</v>
      </c>
      <c r="C182" s="12" t="s">
        <v>483</v>
      </c>
      <c r="D182" s="10" t="s">
        <v>99</v>
      </c>
      <c r="E182" s="10" t="s">
        <v>484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0" t="s">
        <v>451</v>
      </c>
      <c r="B183" s="10" t="s">
        <v>485</v>
      </c>
      <c r="C183" s="12" t="s">
        <v>486</v>
      </c>
      <c r="D183" s="10" t="s">
        <v>39</v>
      </c>
      <c r="E183" s="10" t="s">
        <v>487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0" t="s">
        <v>451</v>
      </c>
      <c r="B184" s="10" t="s">
        <v>488</v>
      </c>
      <c r="C184" s="12" t="s">
        <v>489</v>
      </c>
      <c r="D184" s="10" t="s">
        <v>39</v>
      </c>
      <c r="E184" s="10" t="s">
        <v>490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0" t="s">
        <v>451</v>
      </c>
      <c r="B185" s="10" t="s">
        <v>491</v>
      </c>
      <c r="C185" s="12" t="s">
        <v>492</v>
      </c>
      <c r="D185" s="10" t="s">
        <v>39</v>
      </c>
      <c r="E185" s="10" t="s">
        <v>493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0" t="s">
        <v>451</v>
      </c>
      <c r="B186" s="10" t="s">
        <v>494</v>
      </c>
      <c r="C186" s="12" t="s">
        <v>495</v>
      </c>
      <c r="D186" s="10" t="s">
        <v>39</v>
      </c>
      <c r="E186" s="10" t="s">
        <v>496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0" t="s">
        <v>497</v>
      </c>
      <c r="B187" s="10" t="s">
        <v>498</v>
      </c>
      <c r="C187" s="12" t="s">
        <v>499</v>
      </c>
      <c r="D187" s="10" t="s">
        <v>500</v>
      </c>
      <c r="E187" s="10" t="s">
        <v>501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0" t="s">
        <v>497</v>
      </c>
      <c r="B188" s="10" t="s">
        <v>502</v>
      </c>
      <c r="C188" s="12" t="s">
        <v>503</v>
      </c>
      <c r="D188" s="10" t="s">
        <v>504</v>
      </c>
      <c r="E188" s="10" t="s">
        <v>505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0" t="s">
        <v>497</v>
      </c>
      <c r="B189" s="10" t="s">
        <v>506</v>
      </c>
      <c r="C189" s="12" t="s">
        <v>507</v>
      </c>
      <c r="D189" s="10" t="s">
        <v>24</v>
      </c>
      <c r="E189" s="10" t="s">
        <v>508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0" t="s">
        <v>497</v>
      </c>
      <c r="B190" s="10" t="s">
        <v>509</v>
      </c>
      <c r="C190" s="12" t="s">
        <v>510</v>
      </c>
      <c r="D190" s="10" t="s">
        <v>511</v>
      </c>
      <c r="E190" s="10" t="s">
        <v>512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0" t="s">
        <v>497</v>
      </c>
      <c r="B191" s="10" t="s">
        <v>513</v>
      </c>
      <c r="C191" s="12" t="s">
        <v>514</v>
      </c>
      <c r="D191" s="10" t="s">
        <v>24</v>
      </c>
      <c r="E191" s="10" t="s">
        <v>515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0" t="s">
        <v>497</v>
      </c>
      <c r="B192" s="10" t="s">
        <v>516</v>
      </c>
      <c r="C192" s="12" t="s">
        <v>517</v>
      </c>
      <c r="D192" s="10" t="s">
        <v>518</v>
      </c>
      <c r="E192" s="10" t="s">
        <v>519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0" t="s">
        <v>497</v>
      </c>
      <c r="B193" s="10" t="s">
        <v>520</v>
      </c>
      <c r="C193" s="12" t="s">
        <v>521</v>
      </c>
      <c r="D193" s="10" t="s">
        <v>518</v>
      </c>
      <c r="E193" s="10" t="s">
        <v>522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0" t="s">
        <v>497</v>
      </c>
      <c r="B194" s="10" t="s">
        <v>523</v>
      </c>
      <c r="C194" s="12" t="s">
        <v>524</v>
      </c>
      <c r="D194" s="10" t="s">
        <v>518</v>
      </c>
      <c r="E194" s="10" t="s">
        <v>525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0" t="s">
        <v>497</v>
      </c>
      <c r="B195" s="10" t="s">
        <v>526</v>
      </c>
      <c r="C195" s="12" t="s">
        <v>527</v>
      </c>
      <c r="D195" s="10" t="s">
        <v>24</v>
      </c>
      <c r="E195" s="10" t="s">
        <v>528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0" t="s">
        <v>497</v>
      </c>
      <c r="B196" s="10" t="s">
        <v>529</v>
      </c>
      <c r="C196" s="12" t="s">
        <v>530</v>
      </c>
      <c r="D196" s="10" t="s">
        <v>24</v>
      </c>
      <c r="E196" s="10" t="s">
        <v>531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0" t="s">
        <v>497</v>
      </c>
      <c r="B197" s="10" t="s">
        <v>532</v>
      </c>
      <c r="C197" s="12" t="s">
        <v>533</v>
      </c>
      <c r="D197" s="10" t="s">
        <v>24</v>
      </c>
      <c r="E197" s="10" t="s">
        <v>534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0" t="s">
        <v>497</v>
      </c>
      <c r="B198" s="10" t="s">
        <v>535</v>
      </c>
      <c r="C198" s="12" t="s">
        <v>536</v>
      </c>
      <c r="D198" s="10" t="s">
        <v>24</v>
      </c>
      <c r="E198" s="10" t="s">
        <v>537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0" t="s">
        <v>497</v>
      </c>
      <c r="B199" s="10" t="s">
        <v>538</v>
      </c>
      <c r="C199" s="12" t="s">
        <v>539</v>
      </c>
      <c r="D199" s="10" t="s">
        <v>24</v>
      </c>
      <c r="E199" s="10" t="s">
        <v>540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0" t="s">
        <v>497</v>
      </c>
      <c r="B200" s="10" t="s">
        <v>541</v>
      </c>
      <c r="C200" s="12" t="s">
        <v>542</v>
      </c>
      <c r="D200" s="10" t="s">
        <v>24</v>
      </c>
      <c r="E200" s="10" t="s">
        <v>543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0" t="s">
        <v>497</v>
      </c>
      <c r="B201" s="10" t="s">
        <v>544</v>
      </c>
      <c r="C201" s="12" t="s">
        <v>545</v>
      </c>
      <c r="D201" s="10" t="s">
        <v>24</v>
      </c>
      <c r="E201" s="10" t="s">
        <v>546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0" t="s">
        <v>547</v>
      </c>
      <c r="B202" s="10" t="s">
        <v>548</v>
      </c>
      <c r="C202" s="12" t="s">
        <v>549</v>
      </c>
      <c r="D202" s="10" t="s">
        <v>24</v>
      </c>
      <c r="E202" s="10" t="s">
        <v>550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0" t="s">
        <v>547</v>
      </c>
      <c r="B203" s="10" t="s">
        <v>551</v>
      </c>
      <c r="C203" s="12" t="s">
        <v>552</v>
      </c>
      <c r="D203" s="10" t="s">
        <v>24</v>
      </c>
      <c r="E203" s="10" t="s">
        <v>553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0" t="s">
        <v>547</v>
      </c>
      <c r="B204" s="10" t="s">
        <v>554</v>
      </c>
      <c r="C204" s="12" t="s">
        <v>555</v>
      </c>
      <c r="D204" s="10" t="s">
        <v>24</v>
      </c>
      <c r="E204" s="10" t="s">
        <v>556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0" t="s">
        <v>547</v>
      </c>
      <c r="B205" s="10" t="s">
        <v>557</v>
      </c>
      <c r="C205" s="12" t="s">
        <v>558</v>
      </c>
      <c r="D205" s="10" t="s">
        <v>24</v>
      </c>
      <c r="E205" s="10" t="s">
        <v>559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0" t="s">
        <v>547</v>
      </c>
      <c r="B206" s="10" t="s">
        <v>560</v>
      </c>
      <c r="C206" s="12" t="s">
        <v>561</v>
      </c>
      <c r="D206" s="10" t="s">
        <v>24</v>
      </c>
      <c r="E206" s="10" t="s">
        <v>562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0" t="s">
        <v>547</v>
      </c>
      <c r="B207" s="10" t="s">
        <v>563</v>
      </c>
      <c r="C207" s="12" t="s">
        <v>564</v>
      </c>
      <c r="D207" s="10" t="s">
        <v>24</v>
      </c>
      <c r="E207" s="10" t="s">
        <v>565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0" t="s">
        <v>547</v>
      </c>
      <c r="B208" s="10" t="s">
        <v>566</v>
      </c>
      <c r="C208" s="12" t="s">
        <v>567</v>
      </c>
      <c r="D208" s="10" t="s">
        <v>24</v>
      </c>
      <c r="E208" s="10" t="s">
        <v>568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0" t="s">
        <v>547</v>
      </c>
      <c r="B209" s="10" t="s">
        <v>569</v>
      </c>
      <c r="C209" s="12" t="s">
        <v>570</v>
      </c>
      <c r="D209" s="10" t="s">
        <v>24</v>
      </c>
      <c r="E209" s="10" t="s">
        <v>571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0" t="s">
        <v>547</v>
      </c>
      <c r="B210" s="10" t="s">
        <v>572</v>
      </c>
      <c r="C210" s="12" t="s">
        <v>573</v>
      </c>
      <c r="D210" s="10" t="s">
        <v>24</v>
      </c>
      <c r="E210" s="10" t="s">
        <v>574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0" t="s">
        <v>547</v>
      </c>
      <c r="B211" s="10" t="s">
        <v>575</v>
      </c>
      <c r="C211" s="12" t="s">
        <v>576</v>
      </c>
      <c r="D211" s="10" t="s">
        <v>31</v>
      </c>
      <c r="E211" s="10" t="s">
        <v>577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0" t="s">
        <v>547</v>
      </c>
      <c r="B212" s="10" t="s">
        <v>578</v>
      </c>
      <c r="C212" s="12" t="s">
        <v>579</v>
      </c>
      <c r="D212" s="10" t="s">
        <v>39</v>
      </c>
      <c r="E212" s="10" t="s">
        <v>580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0" t="s">
        <v>547</v>
      </c>
      <c r="B213" s="10" t="s">
        <v>581</v>
      </c>
      <c r="C213" s="12" t="s">
        <v>582</v>
      </c>
      <c r="D213" s="10" t="s">
        <v>39</v>
      </c>
      <c r="E213" s="10" t="s">
        <v>583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0" t="s">
        <v>547</v>
      </c>
      <c r="B214" s="10" t="s">
        <v>584</v>
      </c>
      <c r="C214" s="12" t="s">
        <v>585</v>
      </c>
      <c r="D214" s="10" t="s">
        <v>39</v>
      </c>
      <c r="E214" s="10" t="s">
        <v>586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0" t="s">
        <v>547</v>
      </c>
      <c r="B215" s="10" t="s">
        <v>587</v>
      </c>
      <c r="C215" s="12" t="s">
        <v>588</v>
      </c>
      <c r="D215" s="10" t="s">
        <v>357</v>
      </c>
      <c r="E215" s="10" t="s">
        <v>589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0" t="s">
        <v>590</v>
      </c>
      <c r="B216" s="10" t="s">
        <v>591</v>
      </c>
      <c r="C216" s="12" t="s">
        <v>592</v>
      </c>
      <c r="D216" s="10" t="s">
        <v>24</v>
      </c>
      <c r="E216" s="10" t="s">
        <v>593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0" t="s">
        <v>594</v>
      </c>
      <c r="B217" s="10" t="s">
        <v>595</v>
      </c>
      <c r="C217" s="12" t="s">
        <v>596</v>
      </c>
      <c r="D217" s="10" t="s">
        <v>597</v>
      </c>
      <c r="E217" s="10" t="s">
        <v>598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0" t="s">
        <v>590</v>
      </c>
      <c r="B218" s="10" t="s">
        <v>599</v>
      </c>
      <c r="C218" s="12" t="s">
        <v>600</v>
      </c>
      <c r="D218" s="10" t="s">
        <v>24</v>
      </c>
      <c r="E218" s="10" t="s">
        <v>601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0" t="s">
        <v>590</v>
      </c>
      <c r="B219" s="10" t="s">
        <v>602</v>
      </c>
      <c r="C219" s="12" t="s">
        <v>603</v>
      </c>
      <c r="D219" s="10" t="s">
        <v>31</v>
      </c>
      <c r="E219" s="10" t="s">
        <v>604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0" t="s">
        <v>590</v>
      </c>
      <c r="B220" s="10" t="s">
        <v>605</v>
      </c>
      <c r="C220" s="12" t="s">
        <v>606</v>
      </c>
      <c r="D220" s="10" t="s">
        <v>351</v>
      </c>
      <c r="E220" s="10" t="s">
        <v>607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0" t="s">
        <v>590</v>
      </c>
      <c r="B221" s="10" t="s">
        <v>608</v>
      </c>
      <c r="C221" s="12" t="s">
        <v>609</v>
      </c>
      <c r="D221" s="10" t="s">
        <v>24</v>
      </c>
      <c r="E221" s="10" t="s">
        <v>610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0" t="s">
        <v>590</v>
      </c>
      <c r="B222" s="10" t="s">
        <v>611</v>
      </c>
      <c r="C222" s="12" t="s">
        <v>612</v>
      </c>
      <c r="D222" s="10" t="s">
        <v>24</v>
      </c>
      <c r="E222" s="10" t="s">
        <v>613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0" t="s">
        <v>590</v>
      </c>
      <c r="B223" s="10" t="s">
        <v>614</v>
      </c>
      <c r="C223" s="12" t="s">
        <v>615</v>
      </c>
      <c r="D223" s="10" t="s">
        <v>24</v>
      </c>
      <c r="E223" s="10" t="s">
        <v>616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0" t="s">
        <v>590</v>
      </c>
      <c r="B224" s="10" t="s">
        <v>617</v>
      </c>
      <c r="C224" s="12" t="s">
        <v>618</v>
      </c>
      <c r="D224" s="10" t="s">
        <v>24</v>
      </c>
      <c r="E224" s="10" t="s">
        <v>619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0" t="s">
        <v>590</v>
      </c>
      <c r="B225" s="10" t="s">
        <v>620</v>
      </c>
      <c r="C225" s="12" t="s">
        <v>621</v>
      </c>
      <c r="D225" s="10" t="s">
        <v>622</v>
      </c>
      <c r="E225" s="10" t="s">
        <v>623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0" t="s">
        <v>590</v>
      </c>
      <c r="B226" s="10" t="s">
        <v>624</v>
      </c>
      <c r="C226" s="12" t="s">
        <v>625</v>
      </c>
      <c r="D226" s="10" t="s">
        <v>39</v>
      </c>
      <c r="E226" s="10" t="s">
        <v>626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0" t="s">
        <v>590</v>
      </c>
      <c r="B227" s="10" t="s">
        <v>627</v>
      </c>
      <c r="C227" s="12" t="s">
        <v>628</v>
      </c>
      <c r="D227" s="10" t="s">
        <v>39</v>
      </c>
      <c r="E227" s="10" t="s">
        <v>629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0" t="s">
        <v>590</v>
      </c>
      <c r="B228" s="10" t="s">
        <v>630</v>
      </c>
      <c r="C228" s="12" t="s">
        <v>631</v>
      </c>
      <c r="D228" s="10" t="s">
        <v>39</v>
      </c>
      <c r="E228" s="10" t="s">
        <v>632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0" t="s">
        <v>590</v>
      </c>
      <c r="B229" s="10" t="s">
        <v>633</v>
      </c>
      <c r="C229" s="12" t="s">
        <v>634</v>
      </c>
      <c r="D229" s="10" t="s">
        <v>39</v>
      </c>
      <c r="E229" s="10" t="s">
        <v>635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0" t="s">
        <v>594</v>
      </c>
      <c r="B230" s="10" t="s">
        <v>636</v>
      </c>
      <c r="C230" s="12" t="s">
        <v>637</v>
      </c>
      <c r="D230" s="10" t="s">
        <v>31</v>
      </c>
      <c r="E230" s="10" t="s">
        <v>638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0" t="s">
        <v>594</v>
      </c>
      <c r="B231" s="10" t="s">
        <v>639</v>
      </c>
      <c r="C231" s="12" t="s">
        <v>640</v>
      </c>
      <c r="D231" s="10" t="s">
        <v>24</v>
      </c>
      <c r="E231" s="10" t="s">
        <v>641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0" t="s">
        <v>594</v>
      </c>
      <c r="B232" s="10" t="s">
        <v>642</v>
      </c>
      <c r="C232" s="12" t="s">
        <v>643</v>
      </c>
      <c r="D232" s="10" t="s">
        <v>24</v>
      </c>
      <c r="E232" s="10" t="s">
        <v>644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0" t="s">
        <v>594</v>
      </c>
      <c r="B233" s="10" t="s">
        <v>645</v>
      </c>
      <c r="C233" s="12" t="s">
        <v>646</v>
      </c>
      <c r="D233" s="10" t="s">
        <v>39</v>
      </c>
      <c r="E233" s="10" t="s">
        <v>647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0" t="s">
        <v>594</v>
      </c>
      <c r="B234" s="10" t="s">
        <v>648</v>
      </c>
      <c r="C234" s="12" t="s">
        <v>649</v>
      </c>
      <c r="D234" s="10" t="s">
        <v>39</v>
      </c>
      <c r="E234" s="10" t="s">
        <v>650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0" t="s">
        <v>594</v>
      </c>
      <c r="B235" s="10" t="s">
        <v>651</v>
      </c>
      <c r="C235" s="12" t="s">
        <v>652</v>
      </c>
      <c r="D235" s="10" t="s">
        <v>39</v>
      </c>
      <c r="E235" s="10" t="s">
        <v>653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0" t="s">
        <v>594</v>
      </c>
      <c r="B236" s="10" t="s">
        <v>654</v>
      </c>
      <c r="C236" s="12" t="s">
        <v>655</v>
      </c>
      <c r="D236" s="10" t="s">
        <v>24</v>
      </c>
      <c r="E236" s="10" t="s">
        <v>656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0" t="s">
        <v>594</v>
      </c>
      <c r="B237" s="10" t="s">
        <v>657</v>
      </c>
      <c r="C237" s="12" t="s">
        <v>658</v>
      </c>
      <c r="D237" s="10" t="s">
        <v>24</v>
      </c>
      <c r="E237" s="10" t="s">
        <v>659</v>
      </c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0" t="s">
        <v>594</v>
      </c>
      <c r="B238" s="10" t="s">
        <v>660</v>
      </c>
      <c r="C238" s="12" t="s">
        <v>661</v>
      </c>
      <c r="D238" s="10" t="s">
        <v>24</v>
      </c>
      <c r="E238" s="10" t="s">
        <v>662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0" t="s">
        <v>594</v>
      </c>
      <c r="B239" s="10" t="s">
        <v>663</v>
      </c>
      <c r="C239" s="12" t="s">
        <v>664</v>
      </c>
      <c r="D239" s="10" t="s">
        <v>24</v>
      </c>
      <c r="E239" s="10" t="s">
        <v>665</v>
      </c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0" t="s">
        <v>594</v>
      </c>
      <c r="B240" s="10" t="s">
        <v>666</v>
      </c>
      <c r="C240" s="12" t="s">
        <v>667</v>
      </c>
      <c r="D240" s="10" t="s">
        <v>24</v>
      </c>
      <c r="E240" s="10" t="s">
        <v>668</v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0" t="s">
        <v>594</v>
      </c>
      <c r="B241" s="10" t="s">
        <v>669</v>
      </c>
      <c r="C241" s="12" t="s">
        <v>670</v>
      </c>
      <c r="D241" s="10" t="s">
        <v>24</v>
      </c>
      <c r="E241" s="10" t="s">
        <v>671</v>
      </c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0" t="s">
        <v>594</v>
      </c>
      <c r="B242" s="10" t="s">
        <v>672</v>
      </c>
      <c r="C242" s="12" t="s">
        <v>673</v>
      </c>
      <c r="D242" s="10" t="s">
        <v>24</v>
      </c>
      <c r="E242" s="10" t="s">
        <v>674</v>
      </c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0" t="s">
        <v>594</v>
      </c>
      <c r="B243" s="10" t="s">
        <v>675</v>
      </c>
      <c r="C243" s="12" t="s">
        <v>676</v>
      </c>
      <c r="D243" s="10" t="s">
        <v>170</v>
      </c>
      <c r="E243" s="10" t="s">
        <v>677</v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0" t="s">
        <v>594</v>
      </c>
      <c r="B244" s="10" t="s">
        <v>678</v>
      </c>
      <c r="C244" s="12" t="s">
        <v>679</v>
      </c>
      <c r="D244" s="10" t="s">
        <v>24</v>
      </c>
      <c r="E244" s="10" t="s">
        <v>680</v>
      </c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0" t="s">
        <v>681</v>
      </c>
      <c r="B245" s="10" t="s">
        <v>682</v>
      </c>
      <c r="C245" s="12" t="s">
        <v>683</v>
      </c>
      <c r="D245" s="10" t="s">
        <v>684</v>
      </c>
      <c r="E245" s="10" t="s">
        <v>685</v>
      </c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0" t="s">
        <v>681</v>
      </c>
      <c r="B246" s="10" t="s">
        <v>686</v>
      </c>
      <c r="C246" s="12" t="s">
        <v>687</v>
      </c>
      <c r="D246" s="10" t="s">
        <v>39</v>
      </c>
      <c r="E246" s="10" t="s">
        <v>688</v>
      </c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0" t="s">
        <v>681</v>
      </c>
      <c r="B247" s="10" t="s">
        <v>689</v>
      </c>
      <c r="C247" s="12" t="s">
        <v>690</v>
      </c>
      <c r="D247" s="10" t="s">
        <v>39</v>
      </c>
      <c r="E247" s="10" t="s">
        <v>691</v>
      </c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0" t="s">
        <v>681</v>
      </c>
      <c r="B248" s="10" t="s">
        <v>692</v>
      </c>
      <c r="C248" s="12" t="s">
        <v>693</v>
      </c>
      <c r="D248" s="10" t="s">
        <v>357</v>
      </c>
      <c r="E248" s="10" t="s">
        <v>694</v>
      </c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0" t="s">
        <v>681</v>
      </c>
      <c r="B249" s="10" t="s">
        <v>695</v>
      </c>
      <c r="C249" s="12" t="s">
        <v>696</v>
      </c>
      <c r="D249" s="10" t="s">
        <v>24</v>
      </c>
      <c r="E249" s="10" t="s">
        <v>697</v>
      </c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0" t="s">
        <v>681</v>
      </c>
      <c r="B250" s="10" t="s">
        <v>698</v>
      </c>
      <c r="C250" s="12" t="s">
        <v>699</v>
      </c>
      <c r="D250" s="10" t="s">
        <v>24</v>
      </c>
      <c r="E250" s="10" t="s">
        <v>700</v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0" t="s">
        <v>681</v>
      </c>
      <c r="B251" s="10" t="s">
        <v>701</v>
      </c>
      <c r="C251" s="12" t="s">
        <v>702</v>
      </c>
      <c r="D251" s="10" t="s">
        <v>24</v>
      </c>
      <c r="E251" s="10" t="s">
        <v>703</v>
      </c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0" t="s">
        <v>681</v>
      </c>
      <c r="B252" s="10" t="s">
        <v>704</v>
      </c>
      <c r="C252" s="12" t="s">
        <v>705</v>
      </c>
      <c r="D252" s="10" t="s">
        <v>24</v>
      </c>
      <c r="E252" s="10" t="s">
        <v>706</v>
      </c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0" t="s">
        <v>681</v>
      </c>
      <c r="B253" s="10" t="s">
        <v>707</v>
      </c>
      <c r="C253" s="12" t="s">
        <v>708</v>
      </c>
      <c r="D253" s="10" t="s">
        <v>24</v>
      </c>
      <c r="E253" s="10" t="s">
        <v>709</v>
      </c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0" t="s">
        <v>681</v>
      </c>
      <c r="B254" s="10" t="s">
        <v>710</v>
      </c>
      <c r="C254" s="12" t="s">
        <v>711</v>
      </c>
      <c r="D254" s="10" t="s">
        <v>24</v>
      </c>
      <c r="E254" s="10" t="s">
        <v>712</v>
      </c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0" t="s">
        <v>713</v>
      </c>
      <c r="B255" s="10" t="s">
        <v>714</v>
      </c>
      <c r="C255" s="12" t="s">
        <v>715</v>
      </c>
      <c r="D255" s="10" t="s">
        <v>357</v>
      </c>
      <c r="E255" s="10" t="s">
        <v>716</v>
      </c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0" t="s">
        <v>713</v>
      </c>
      <c r="B256" s="10" t="s">
        <v>717</v>
      </c>
      <c r="C256" s="12" t="s">
        <v>718</v>
      </c>
      <c r="D256" s="10" t="s">
        <v>719</v>
      </c>
      <c r="E256" s="10" t="s">
        <v>720</v>
      </c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0" t="s">
        <v>713</v>
      </c>
      <c r="B257" s="10" t="s">
        <v>721</v>
      </c>
      <c r="C257" s="12" t="s">
        <v>722</v>
      </c>
      <c r="D257" s="10" t="s">
        <v>39</v>
      </c>
      <c r="E257" s="10" t="s">
        <v>723</v>
      </c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0" t="s">
        <v>713</v>
      </c>
      <c r="B258" s="10" t="s">
        <v>724</v>
      </c>
      <c r="C258" s="12" t="s">
        <v>725</v>
      </c>
      <c r="D258" s="10" t="s">
        <v>39</v>
      </c>
      <c r="E258" s="10" t="s">
        <v>726</v>
      </c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0" t="s">
        <v>713</v>
      </c>
      <c r="B259" s="10" t="s">
        <v>727</v>
      </c>
      <c r="C259" s="12" t="s">
        <v>728</v>
      </c>
      <c r="D259" s="10" t="s">
        <v>39</v>
      </c>
      <c r="E259" s="10" t="s">
        <v>729</v>
      </c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0" t="s">
        <v>713</v>
      </c>
      <c r="B260" s="10" t="s">
        <v>730</v>
      </c>
      <c r="C260" s="12" t="s">
        <v>731</v>
      </c>
      <c r="D260" s="10" t="s">
        <v>24</v>
      </c>
      <c r="E260" s="10" t="s">
        <v>732</v>
      </c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0" t="s">
        <v>713</v>
      </c>
      <c r="B261" s="10" t="s">
        <v>733</v>
      </c>
      <c r="C261" s="12" t="s">
        <v>734</v>
      </c>
      <c r="D261" s="10" t="s">
        <v>24</v>
      </c>
      <c r="E261" s="10" t="s">
        <v>735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0" t="s">
        <v>713</v>
      </c>
      <c r="B262" s="10" t="s">
        <v>736</v>
      </c>
      <c r="C262" s="12" t="s">
        <v>737</v>
      </c>
      <c r="D262" s="10" t="s">
        <v>738</v>
      </c>
      <c r="E262" s="10" t="s">
        <v>739</v>
      </c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0" t="s">
        <v>713</v>
      </c>
      <c r="B263" s="10" t="s">
        <v>740</v>
      </c>
      <c r="C263" s="12" t="s">
        <v>741</v>
      </c>
      <c r="D263" s="10" t="s">
        <v>297</v>
      </c>
      <c r="E263" s="10" t="s">
        <v>742</v>
      </c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0" t="s">
        <v>713</v>
      </c>
      <c r="B264" s="10" t="s">
        <v>743</v>
      </c>
      <c r="C264" s="12" t="s">
        <v>744</v>
      </c>
      <c r="D264" s="10" t="s">
        <v>24</v>
      </c>
      <c r="E264" s="10" t="s">
        <v>745</v>
      </c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0" t="s">
        <v>713</v>
      </c>
      <c r="B265" s="10" t="s">
        <v>746</v>
      </c>
      <c r="C265" s="12" t="s">
        <v>747</v>
      </c>
      <c r="D265" s="10" t="s">
        <v>24</v>
      </c>
      <c r="E265" s="10" t="s">
        <v>748</v>
      </c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0" t="s">
        <v>713</v>
      </c>
      <c r="B266" s="10" t="s">
        <v>749</v>
      </c>
      <c r="C266" s="12" t="s">
        <v>750</v>
      </c>
      <c r="D266" s="10" t="s">
        <v>24</v>
      </c>
      <c r="E266" s="10" t="s">
        <v>751</v>
      </c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0" t="s">
        <v>713</v>
      </c>
      <c r="B267" s="10" t="s">
        <v>752</v>
      </c>
      <c r="C267" s="12" t="s">
        <v>753</v>
      </c>
      <c r="D267" s="10" t="s">
        <v>24</v>
      </c>
      <c r="E267" s="10" t="s">
        <v>754</v>
      </c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0" t="s">
        <v>713</v>
      </c>
      <c r="B268" s="10" t="s">
        <v>755</v>
      </c>
      <c r="C268" s="12" t="s">
        <v>756</v>
      </c>
      <c r="D268" s="10" t="s">
        <v>24</v>
      </c>
      <c r="E268" s="10" t="s">
        <v>757</v>
      </c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0" t="s">
        <v>713</v>
      </c>
      <c r="B269" s="10" t="s">
        <v>758</v>
      </c>
      <c r="C269" s="12" t="s">
        <v>759</v>
      </c>
      <c r="D269" s="10" t="s">
        <v>24</v>
      </c>
      <c r="E269" s="10" t="s">
        <v>760</v>
      </c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0" t="s">
        <v>761</v>
      </c>
      <c r="B270" s="10" t="s">
        <v>762</v>
      </c>
      <c r="C270" s="12" t="s">
        <v>763</v>
      </c>
      <c r="D270" s="10" t="s">
        <v>24</v>
      </c>
      <c r="E270" s="10" t="s">
        <v>764</v>
      </c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0" t="s">
        <v>761</v>
      </c>
      <c r="B271" s="10" t="s">
        <v>765</v>
      </c>
      <c r="C271" s="12" t="s">
        <v>766</v>
      </c>
      <c r="D271" s="10" t="s">
        <v>24</v>
      </c>
      <c r="E271" s="10" t="s">
        <v>767</v>
      </c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0" t="s">
        <v>761</v>
      </c>
      <c r="B272" s="10" t="s">
        <v>768</v>
      </c>
      <c r="C272" s="12" t="s">
        <v>769</v>
      </c>
      <c r="D272" s="10" t="s">
        <v>39</v>
      </c>
      <c r="E272" s="10" t="s">
        <v>770</v>
      </c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0" t="s">
        <v>761</v>
      </c>
      <c r="B273" s="10" t="s">
        <v>771</v>
      </c>
      <c r="C273" s="12" t="s">
        <v>772</v>
      </c>
      <c r="D273" s="10" t="s">
        <v>39</v>
      </c>
      <c r="E273" s="10" t="s">
        <v>773</v>
      </c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0" t="s">
        <v>761</v>
      </c>
      <c r="B274" s="10" t="s">
        <v>774</v>
      </c>
      <c r="C274" s="12" t="s">
        <v>775</v>
      </c>
      <c r="D274" s="10" t="s">
        <v>39</v>
      </c>
      <c r="E274" s="10" t="s">
        <v>776</v>
      </c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0" t="s">
        <v>761</v>
      </c>
      <c r="B275" s="10" t="s">
        <v>777</v>
      </c>
      <c r="C275" s="12" t="s">
        <v>778</v>
      </c>
      <c r="D275" s="10" t="s">
        <v>24</v>
      </c>
      <c r="E275" s="10" t="s">
        <v>779</v>
      </c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0" t="s">
        <v>761</v>
      </c>
      <c r="B276" s="10" t="s">
        <v>780</v>
      </c>
      <c r="C276" s="12" t="s">
        <v>781</v>
      </c>
      <c r="D276" s="10" t="s">
        <v>24</v>
      </c>
      <c r="E276" s="10" t="s">
        <v>782</v>
      </c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0" t="s">
        <v>761</v>
      </c>
      <c r="B277" s="10" t="s">
        <v>783</v>
      </c>
      <c r="C277" s="12" t="s">
        <v>784</v>
      </c>
      <c r="D277" s="10" t="s">
        <v>24</v>
      </c>
      <c r="E277" s="10" t="s">
        <v>785</v>
      </c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0" t="s">
        <v>761</v>
      </c>
      <c r="B278" s="10" t="s">
        <v>786</v>
      </c>
      <c r="C278" s="12" t="s">
        <v>787</v>
      </c>
      <c r="D278" s="10" t="s">
        <v>788</v>
      </c>
      <c r="E278" s="10" t="s">
        <v>789</v>
      </c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0" t="s">
        <v>761</v>
      </c>
      <c r="B279" s="10" t="s">
        <v>790</v>
      </c>
      <c r="C279" s="12" t="s">
        <v>791</v>
      </c>
      <c r="D279" s="10" t="s">
        <v>24</v>
      </c>
      <c r="E279" s="10" t="s">
        <v>792</v>
      </c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0" t="s">
        <v>761</v>
      </c>
      <c r="B280" s="10" t="s">
        <v>793</v>
      </c>
      <c r="C280" s="12" t="s">
        <v>794</v>
      </c>
      <c r="D280" s="10" t="s">
        <v>31</v>
      </c>
      <c r="E280" s="10" t="s">
        <v>795</v>
      </c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0" t="s">
        <v>761</v>
      </c>
      <c r="B281" s="10" t="s">
        <v>796</v>
      </c>
      <c r="C281" s="12" t="s">
        <v>797</v>
      </c>
      <c r="D281" s="10" t="s">
        <v>31</v>
      </c>
      <c r="E281" s="10" t="s">
        <v>798</v>
      </c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0" t="s">
        <v>761</v>
      </c>
      <c r="B282" s="10" t="s">
        <v>799</v>
      </c>
      <c r="C282" s="12" t="s">
        <v>800</v>
      </c>
      <c r="D282" s="10" t="s">
        <v>24</v>
      </c>
      <c r="E282" s="10" t="s">
        <v>801</v>
      </c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0" t="s">
        <v>761</v>
      </c>
      <c r="B283" s="10" t="s">
        <v>802</v>
      </c>
      <c r="C283" s="12" t="s">
        <v>803</v>
      </c>
      <c r="D283" s="10" t="s">
        <v>24</v>
      </c>
      <c r="E283" s="10" t="s">
        <v>804</v>
      </c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0" t="s">
        <v>805</v>
      </c>
      <c r="B284" s="10" t="s">
        <v>806</v>
      </c>
      <c r="C284" s="12" t="s">
        <v>807</v>
      </c>
      <c r="D284" s="10" t="s">
        <v>99</v>
      </c>
      <c r="E284" s="10" t="s">
        <v>808</v>
      </c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0" t="s">
        <v>805</v>
      </c>
      <c r="B285" s="10" t="s">
        <v>809</v>
      </c>
      <c r="C285" s="12" t="s">
        <v>810</v>
      </c>
      <c r="D285" s="10" t="s">
        <v>215</v>
      </c>
      <c r="E285" s="10" t="s">
        <v>811</v>
      </c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0" t="s">
        <v>805</v>
      </c>
      <c r="B286" s="10" t="s">
        <v>812</v>
      </c>
      <c r="C286" s="12" t="s">
        <v>813</v>
      </c>
      <c r="D286" s="10" t="s">
        <v>39</v>
      </c>
      <c r="E286" s="10" t="s">
        <v>814</v>
      </c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0" t="s">
        <v>805</v>
      </c>
      <c r="B287" s="10" t="s">
        <v>815</v>
      </c>
      <c r="C287" s="12" t="s">
        <v>816</v>
      </c>
      <c r="D287" s="10" t="s">
        <v>39</v>
      </c>
      <c r="E287" s="10" t="s">
        <v>817</v>
      </c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0" t="s">
        <v>805</v>
      </c>
      <c r="B288" s="10" t="s">
        <v>818</v>
      </c>
      <c r="C288" s="12" t="s">
        <v>819</v>
      </c>
      <c r="D288" s="10" t="s">
        <v>99</v>
      </c>
      <c r="E288" s="10" t="s">
        <v>820</v>
      </c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0" t="s">
        <v>805</v>
      </c>
      <c r="B289" s="10" t="s">
        <v>821</v>
      </c>
      <c r="C289" s="12" t="s">
        <v>822</v>
      </c>
      <c r="D289" s="10" t="s">
        <v>121</v>
      </c>
      <c r="E289" s="10" t="s">
        <v>823</v>
      </c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0" t="s">
        <v>824</v>
      </c>
      <c r="B290" s="10" t="s">
        <v>825</v>
      </c>
      <c r="C290" s="12" t="s">
        <v>826</v>
      </c>
      <c r="D290" s="10" t="s">
        <v>39</v>
      </c>
      <c r="E290" s="10" t="s">
        <v>827</v>
      </c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0" t="s">
        <v>805</v>
      </c>
      <c r="B291" s="10" t="s">
        <v>828</v>
      </c>
      <c r="C291" s="12" t="s">
        <v>829</v>
      </c>
      <c r="D291" s="10" t="s">
        <v>830</v>
      </c>
      <c r="E291" s="10" t="s">
        <v>831</v>
      </c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0" t="s">
        <v>805</v>
      </c>
      <c r="B292" s="10" t="s">
        <v>832</v>
      </c>
      <c r="C292" s="12" t="s">
        <v>833</v>
      </c>
      <c r="D292" s="10" t="s">
        <v>99</v>
      </c>
      <c r="E292" s="10" t="s">
        <v>834</v>
      </c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0" t="s">
        <v>805</v>
      </c>
      <c r="B293" s="10" t="s">
        <v>835</v>
      </c>
      <c r="C293" s="12" t="s">
        <v>836</v>
      </c>
      <c r="D293" s="10" t="s">
        <v>99</v>
      </c>
      <c r="E293" s="10" t="s">
        <v>837</v>
      </c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0" t="s">
        <v>805</v>
      </c>
      <c r="B294" s="10" t="s">
        <v>838</v>
      </c>
      <c r="C294" s="12" t="s">
        <v>839</v>
      </c>
      <c r="D294" s="10" t="s">
        <v>99</v>
      </c>
      <c r="E294" s="10" t="s">
        <v>840</v>
      </c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0" t="s">
        <v>805</v>
      </c>
      <c r="B295" s="10" t="s">
        <v>841</v>
      </c>
      <c r="C295" s="12" t="s">
        <v>842</v>
      </c>
      <c r="D295" s="10" t="s">
        <v>39</v>
      </c>
      <c r="E295" s="10" t="s">
        <v>843</v>
      </c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0" t="s">
        <v>805</v>
      </c>
      <c r="B296" s="10" t="s">
        <v>844</v>
      </c>
      <c r="C296" s="12" t="s">
        <v>845</v>
      </c>
      <c r="D296" s="10" t="s">
        <v>121</v>
      </c>
      <c r="E296" s="10" t="s">
        <v>846</v>
      </c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0" t="s">
        <v>805</v>
      </c>
      <c r="B297" s="10" t="s">
        <v>847</v>
      </c>
      <c r="C297" s="12" t="s">
        <v>848</v>
      </c>
      <c r="D297" s="10" t="s">
        <v>99</v>
      </c>
      <c r="E297" s="10" t="s">
        <v>849</v>
      </c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0" t="s">
        <v>805</v>
      </c>
      <c r="B298" s="10" t="s">
        <v>850</v>
      </c>
      <c r="C298" s="12" t="s">
        <v>851</v>
      </c>
      <c r="D298" s="10" t="s">
        <v>99</v>
      </c>
      <c r="E298" s="10" t="s">
        <v>852</v>
      </c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0" t="s">
        <v>824</v>
      </c>
      <c r="B299" s="10" t="s">
        <v>853</v>
      </c>
      <c r="C299" s="12" t="s">
        <v>854</v>
      </c>
      <c r="D299" s="10" t="s">
        <v>24</v>
      </c>
      <c r="E299" s="10" t="s">
        <v>855</v>
      </c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0" t="s">
        <v>824</v>
      </c>
      <c r="B300" s="10" t="s">
        <v>856</v>
      </c>
      <c r="C300" s="12" t="s">
        <v>857</v>
      </c>
      <c r="D300" s="10" t="s">
        <v>24</v>
      </c>
      <c r="E300" s="10" t="s">
        <v>858</v>
      </c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0" t="s">
        <v>824</v>
      </c>
      <c r="B301" s="10" t="s">
        <v>859</v>
      </c>
      <c r="C301" s="12" t="s">
        <v>860</v>
      </c>
      <c r="D301" s="10" t="s">
        <v>43</v>
      </c>
      <c r="E301" s="10" t="s">
        <v>861</v>
      </c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0" t="s">
        <v>824</v>
      </c>
      <c r="B302" s="10" t="s">
        <v>862</v>
      </c>
      <c r="C302" s="12" t="s">
        <v>863</v>
      </c>
      <c r="D302" s="10" t="s">
        <v>31</v>
      </c>
      <c r="E302" s="10" t="s">
        <v>864</v>
      </c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0" t="s">
        <v>824</v>
      </c>
      <c r="B303" s="10" t="s">
        <v>865</v>
      </c>
      <c r="C303" s="12" t="s">
        <v>866</v>
      </c>
      <c r="D303" s="10" t="s">
        <v>867</v>
      </c>
      <c r="E303" s="10" t="s">
        <v>868</v>
      </c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0" t="s">
        <v>824</v>
      </c>
      <c r="B304" s="10" t="s">
        <v>869</v>
      </c>
      <c r="C304" s="12" t="s">
        <v>870</v>
      </c>
      <c r="D304" s="10" t="s">
        <v>24</v>
      </c>
      <c r="E304" s="10" t="s">
        <v>871</v>
      </c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0" t="s">
        <v>824</v>
      </c>
      <c r="B305" s="10" t="s">
        <v>872</v>
      </c>
      <c r="C305" s="12" t="s">
        <v>873</v>
      </c>
      <c r="D305" s="10" t="s">
        <v>24</v>
      </c>
      <c r="E305" s="10" t="s">
        <v>874</v>
      </c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0" t="s">
        <v>824</v>
      </c>
      <c r="B306" s="10" t="s">
        <v>875</v>
      </c>
      <c r="C306" s="12" t="s">
        <v>876</v>
      </c>
      <c r="D306" s="10" t="s">
        <v>24</v>
      </c>
      <c r="E306" s="10" t="s">
        <v>877</v>
      </c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0" t="s">
        <v>824</v>
      </c>
      <c r="B307" s="10" t="s">
        <v>878</v>
      </c>
      <c r="C307" s="12" t="s">
        <v>879</v>
      </c>
      <c r="D307" s="10" t="s">
        <v>24</v>
      </c>
      <c r="E307" s="10" t="s">
        <v>880</v>
      </c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0" t="s">
        <v>824</v>
      </c>
      <c r="B308" s="10" t="s">
        <v>881</v>
      </c>
      <c r="C308" s="12" t="s">
        <v>882</v>
      </c>
      <c r="D308" s="10" t="s">
        <v>39</v>
      </c>
      <c r="E308" s="10" t="s">
        <v>883</v>
      </c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0" t="s">
        <v>824</v>
      </c>
      <c r="B309" s="10" t="s">
        <v>884</v>
      </c>
      <c r="C309" s="12" t="s">
        <v>885</v>
      </c>
      <c r="D309" s="10" t="s">
        <v>24</v>
      </c>
      <c r="E309" s="10" t="s">
        <v>886</v>
      </c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0" t="s">
        <v>824</v>
      </c>
      <c r="B310" s="10" t="s">
        <v>887</v>
      </c>
      <c r="C310" s="12" t="s">
        <v>888</v>
      </c>
      <c r="D310" s="10" t="s">
        <v>24</v>
      </c>
      <c r="E310" s="10" t="s">
        <v>889</v>
      </c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0" t="s">
        <v>824</v>
      </c>
      <c r="B311" s="10" t="s">
        <v>890</v>
      </c>
      <c r="C311" s="12" t="s">
        <v>891</v>
      </c>
      <c r="D311" s="10" t="s">
        <v>24</v>
      </c>
      <c r="E311" s="10" t="s">
        <v>892</v>
      </c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0" t="s">
        <v>824</v>
      </c>
      <c r="B312" s="10" t="s">
        <v>893</v>
      </c>
      <c r="C312" s="12" t="s">
        <v>894</v>
      </c>
      <c r="D312" s="10" t="s">
        <v>39</v>
      </c>
      <c r="E312" s="10" t="s">
        <v>895</v>
      </c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</hyperlinks>
  <drawing r:id="rId3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</cols>
  <sheetData>
    <row r="1">
      <c r="A1" s="13" t="s">
        <v>896</v>
      </c>
    </row>
    <row r="2">
      <c r="A2" s="13" t="s">
        <v>897</v>
      </c>
    </row>
    <row r="3">
      <c r="A3" s="13" t="s">
        <v>898</v>
      </c>
    </row>
    <row r="4">
      <c r="A4" s="13" t="s">
        <v>899</v>
      </c>
    </row>
    <row r="5">
      <c r="A5" s="13" t="s">
        <v>900</v>
      </c>
    </row>
    <row r="6">
      <c r="A6" s="13" t="s">
        <v>901</v>
      </c>
    </row>
    <row r="7">
      <c r="A7" s="13" t="s">
        <v>902</v>
      </c>
    </row>
    <row r="8">
      <c r="A8" s="13" t="s">
        <v>903</v>
      </c>
    </row>
    <row r="9">
      <c r="A9" s="13" t="s">
        <v>904</v>
      </c>
    </row>
    <row r="10">
      <c r="A10" s="13" t="s">
        <v>905</v>
      </c>
    </row>
    <row r="11">
      <c r="A11" s="13" t="s">
        <v>906</v>
      </c>
    </row>
    <row r="12">
      <c r="A12" s="13" t="s">
        <v>907</v>
      </c>
    </row>
    <row r="13">
      <c r="A13" s="13" t="s">
        <v>908</v>
      </c>
    </row>
    <row r="14">
      <c r="A14" s="13" t="s">
        <v>909</v>
      </c>
    </row>
    <row r="15">
      <c r="A15" s="13" t="s">
        <v>910</v>
      </c>
    </row>
    <row r="16">
      <c r="A16" s="13" t="s">
        <v>911</v>
      </c>
    </row>
    <row r="17">
      <c r="A17" s="13" t="s">
        <v>912</v>
      </c>
    </row>
    <row r="18">
      <c r="A18" s="13" t="s">
        <v>913</v>
      </c>
    </row>
    <row r="19">
      <c r="A19" s="13" t="s">
        <v>914</v>
      </c>
    </row>
    <row r="20">
      <c r="A20" s="13" t="s">
        <v>915</v>
      </c>
    </row>
    <row r="21">
      <c r="A21" s="13" t="s">
        <v>916</v>
      </c>
    </row>
    <row r="22">
      <c r="A22" s="13" t="s">
        <v>917</v>
      </c>
    </row>
    <row r="23">
      <c r="A23" s="13" t="s">
        <v>918</v>
      </c>
    </row>
    <row r="24">
      <c r="A24" s="13" t="s">
        <v>919</v>
      </c>
    </row>
    <row r="25">
      <c r="A25" s="13" t="s">
        <v>920</v>
      </c>
    </row>
    <row r="26">
      <c r="A26" s="13" t="s">
        <v>921</v>
      </c>
    </row>
    <row r="27">
      <c r="A27" s="13" t="s">
        <v>922</v>
      </c>
    </row>
    <row r="28">
      <c r="A28" s="13" t="s">
        <v>923</v>
      </c>
    </row>
    <row r="29">
      <c r="A29" s="13" t="s">
        <v>924</v>
      </c>
    </row>
    <row r="30">
      <c r="A30" s="13" t="s">
        <v>925</v>
      </c>
    </row>
    <row r="31">
      <c r="A31" s="13" t="s">
        <v>926</v>
      </c>
    </row>
    <row r="32">
      <c r="A32" s="13" t="s">
        <v>902</v>
      </c>
    </row>
    <row r="33">
      <c r="A33" s="13" t="s">
        <v>927</v>
      </c>
    </row>
    <row r="34">
      <c r="A34" s="13" t="s">
        <v>928</v>
      </c>
    </row>
    <row r="35">
      <c r="A35" s="13" t="s">
        <v>929</v>
      </c>
    </row>
    <row r="36">
      <c r="A36" s="13" t="s">
        <v>930</v>
      </c>
    </row>
    <row r="37">
      <c r="A37" s="13" t="s">
        <v>931</v>
      </c>
    </row>
    <row r="38">
      <c r="A38" s="13" t="s">
        <v>932</v>
      </c>
    </row>
    <row r="39">
      <c r="A39" s="13" t="s">
        <v>933</v>
      </c>
    </row>
    <row r="40">
      <c r="A40" s="13" t="s">
        <v>934</v>
      </c>
    </row>
    <row r="41">
      <c r="A41" s="13" t="s">
        <v>935</v>
      </c>
    </row>
    <row r="42">
      <c r="A42" s="13" t="s">
        <v>936</v>
      </c>
    </row>
    <row r="43">
      <c r="A43" s="13" t="s">
        <v>937</v>
      </c>
    </row>
    <row r="44">
      <c r="A44" s="13" t="s">
        <v>938</v>
      </c>
    </row>
    <row r="45">
      <c r="A45" s="13" t="s">
        <v>939</v>
      </c>
    </row>
    <row r="46">
      <c r="A46" s="13" t="s">
        <v>940</v>
      </c>
    </row>
    <row r="47">
      <c r="A47" s="13" t="s">
        <v>941</v>
      </c>
    </row>
    <row r="48">
      <c r="A48" s="13" t="s">
        <v>942</v>
      </c>
    </row>
    <row r="49">
      <c r="A49" s="13" t="s">
        <v>943</v>
      </c>
    </row>
    <row r="50">
      <c r="A50" s="13" t="s">
        <v>944</v>
      </c>
    </row>
    <row r="51">
      <c r="A51" s="13" t="s">
        <v>945</v>
      </c>
    </row>
    <row r="52">
      <c r="A52" s="13" t="s">
        <v>912</v>
      </c>
    </row>
    <row r="53">
      <c r="A53" s="13" t="s">
        <v>946</v>
      </c>
    </row>
    <row r="54">
      <c r="A54" s="13" t="s">
        <v>947</v>
      </c>
    </row>
    <row r="55">
      <c r="A55" s="13" t="s">
        <v>948</v>
      </c>
    </row>
    <row r="56">
      <c r="A56" s="13" t="s">
        <v>949</v>
      </c>
    </row>
    <row r="57">
      <c r="A57" s="13" t="s">
        <v>950</v>
      </c>
    </row>
    <row r="58">
      <c r="A58" s="13" t="s">
        <v>951</v>
      </c>
    </row>
    <row r="59">
      <c r="A59" s="13" t="s">
        <v>952</v>
      </c>
    </row>
    <row r="60">
      <c r="A60" s="13" t="s">
        <v>953</v>
      </c>
    </row>
    <row r="61">
      <c r="A61" s="13" t="s">
        <v>933</v>
      </c>
    </row>
    <row r="62">
      <c r="A62" s="13" t="s">
        <v>954</v>
      </c>
    </row>
    <row r="63">
      <c r="A63" s="13" t="s">
        <v>955</v>
      </c>
    </row>
    <row r="64">
      <c r="A64" s="13" t="s">
        <v>956</v>
      </c>
    </row>
    <row r="65">
      <c r="A65" s="13" t="s">
        <v>957</v>
      </c>
    </row>
    <row r="66">
      <c r="A66" s="13" t="s">
        <v>958</v>
      </c>
    </row>
    <row r="67">
      <c r="A67" s="13" t="s">
        <v>959</v>
      </c>
    </row>
    <row r="68">
      <c r="A68" s="13" t="s">
        <v>960</v>
      </c>
    </row>
    <row r="69">
      <c r="A69" s="13" t="s">
        <v>961</v>
      </c>
    </row>
    <row r="70">
      <c r="A70" s="13" t="s">
        <v>962</v>
      </c>
    </row>
    <row r="71">
      <c r="A71" s="13" t="s">
        <v>963</v>
      </c>
    </row>
    <row r="72">
      <c r="A72" s="13" t="s">
        <v>964</v>
      </c>
    </row>
    <row r="73">
      <c r="A73" s="13" t="s">
        <v>965</v>
      </c>
    </row>
    <row r="74">
      <c r="A74" s="13" t="s">
        <v>966</v>
      </c>
    </row>
    <row r="75">
      <c r="A75" s="13" t="s">
        <v>967</v>
      </c>
    </row>
    <row r="76">
      <c r="A76" s="13" t="s">
        <v>968</v>
      </c>
    </row>
    <row r="77">
      <c r="A77" s="13" t="s">
        <v>969</v>
      </c>
    </row>
    <row r="78">
      <c r="A78" s="13" t="s">
        <v>970</v>
      </c>
    </row>
    <row r="79">
      <c r="A79" s="13" t="s">
        <v>971</v>
      </c>
    </row>
    <row r="80">
      <c r="A80" s="13" t="s">
        <v>972</v>
      </c>
    </row>
    <row r="81">
      <c r="A81" s="13" t="s">
        <v>973</v>
      </c>
    </row>
    <row r="82">
      <c r="A82" s="13" t="s">
        <v>974</v>
      </c>
    </row>
    <row r="83">
      <c r="A83" s="13" t="s">
        <v>975</v>
      </c>
    </row>
    <row r="84">
      <c r="A84" s="13" t="s">
        <v>976</v>
      </c>
    </row>
    <row r="85">
      <c r="A85" s="13" t="s">
        <v>977</v>
      </c>
    </row>
    <row r="86">
      <c r="A86" s="13" t="s">
        <v>978</v>
      </c>
    </row>
    <row r="87">
      <c r="A87" s="13" t="s">
        <v>933</v>
      </c>
    </row>
    <row r="88">
      <c r="A88" s="13" t="s">
        <v>979</v>
      </c>
    </row>
    <row r="89">
      <c r="A89" s="13" t="s">
        <v>980</v>
      </c>
    </row>
    <row r="90">
      <c r="A90" s="13" t="s">
        <v>981</v>
      </c>
    </row>
    <row r="91">
      <c r="A91" s="13" t="s">
        <v>982</v>
      </c>
    </row>
    <row r="92">
      <c r="A92" s="13" t="s">
        <v>935</v>
      </c>
    </row>
    <row r="93">
      <c r="A93" s="13" t="s">
        <v>978</v>
      </c>
    </row>
    <row r="94">
      <c r="A94" s="13" t="s">
        <v>933</v>
      </c>
    </row>
    <row r="95">
      <c r="A95" s="13" t="s">
        <v>983</v>
      </c>
    </row>
    <row r="96">
      <c r="A96" s="13" t="s">
        <v>984</v>
      </c>
    </row>
    <row r="97">
      <c r="A97" s="13" t="s">
        <v>952</v>
      </c>
    </row>
    <row r="98">
      <c r="A98" s="13" t="s">
        <v>985</v>
      </c>
    </row>
    <row r="99">
      <c r="A99" s="13" t="s">
        <v>986</v>
      </c>
    </row>
    <row r="100">
      <c r="A100" s="13" t="s">
        <v>987</v>
      </c>
    </row>
    <row r="101">
      <c r="A101" s="13" t="s">
        <v>988</v>
      </c>
    </row>
    <row r="102">
      <c r="A102" s="13" t="s">
        <v>989</v>
      </c>
    </row>
    <row r="103">
      <c r="A103" s="13" t="s">
        <v>990</v>
      </c>
    </row>
    <row r="104">
      <c r="A104" s="13" t="s">
        <v>904</v>
      </c>
    </row>
    <row r="105">
      <c r="A105" s="13" t="s">
        <v>991</v>
      </c>
    </row>
    <row r="106">
      <c r="A106" s="13" t="s">
        <v>992</v>
      </c>
    </row>
    <row r="107">
      <c r="A107" s="13" t="s">
        <v>993</v>
      </c>
    </row>
    <row r="108">
      <c r="A108" s="13" t="s">
        <v>994</v>
      </c>
    </row>
    <row r="109">
      <c r="A109" s="13" t="s">
        <v>995</v>
      </c>
    </row>
    <row r="110">
      <c r="A110" s="13" t="s">
        <v>996</v>
      </c>
    </row>
    <row r="111">
      <c r="A111" s="13" t="s">
        <v>997</v>
      </c>
    </row>
    <row r="112">
      <c r="A112" s="13" t="s">
        <v>998</v>
      </c>
    </row>
    <row r="113">
      <c r="A113" s="13" t="s">
        <v>999</v>
      </c>
    </row>
    <row r="114">
      <c r="A114" s="13" t="s">
        <v>1000</v>
      </c>
    </row>
    <row r="115">
      <c r="A115" s="13" t="s">
        <v>1001</v>
      </c>
    </row>
    <row r="116">
      <c r="A116" s="13" t="s">
        <v>1002</v>
      </c>
    </row>
    <row r="117">
      <c r="A117" s="13" t="s">
        <v>1003</v>
      </c>
    </row>
    <row r="118">
      <c r="A118" s="13" t="s">
        <v>1004</v>
      </c>
    </row>
    <row r="119">
      <c r="A119" s="13" t="s">
        <v>1005</v>
      </c>
    </row>
    <row r="120">
      <c r="A120" s="13" t="s">
        <v>1006</v>
      </c>
    </row>
    <row r="121">
      <c r="A121" s="13" t="s">
        <v>1007</v>
      </c>
    </row>
    <row r="122">
      <c r="A122" s="13" t="s">
        <v>1006</v>
      </c>
    </row>
    <row r="123">
      <c r="A123" s="13" t="s">
        <v>1008</v>
      </c>
    </row>
    <row r="124">
      <c r="A124" s="13" t="s">
        <v>1009</v>
      </c>
    </row>
    <row r="125">
      <c r="A125" s="13" t="s">
        <v>1010</v>
      </c>
    </row>
    <row r="126">
      <c r="A126" s="13" t="s">
        <v>1011</v>
      </c>
    </row>
    <row r="127">
      <c r="A127" s="13" t="s">
        <v>1012</v>
      </c>
    </row>
    <row r="128">
      <c r="A128" s="13" t="s">
        <v>1013</v>
      </c>
    </row>
    <row r="129">
      <c r="A129" s="13" t="s">
        <v>1011</v>
      </c>
    </row>
    <row r="130">
      <c r="A130" s="13" t="s">
        <v>1014</v>
      </c>
    </row>
    <row r="131">
      <c r="A131" s="13" t="s">
        <v>1015</v>
      </c>
    </row>
    <row r="132">
      <c r="A132" s="13" t="s">
        <v>1016</v>
      </c>
    </row>
    <row r="133">
      <c r="A133" s="13" t="s">
        <v>1016</v>
      </c>
    </row>
    <row r="134">
      <c r="A134" s="13" t="s">
        <v>1017</v>
      </c>
    </row>
    <row r="135">
      <c r="A135" s="13" t="s">
        <v>1018</v>
      </c>
    </row>
    <row r="136">
      <c r="A136" s="13" t="s">
        <v>1019</v>
      </c>
    </row>
    <row r="137">
      <c r="A137" s="13" t="s">
        <v>1020</v>
      </c>
    </row>
    <row r="138">
      <c r="A138" s="13" t="s">
        <v>1021</v>
      </c>
    </row>
    <row r="139">
      <c r="A139" s="13" t="s">
        <v>1022</v>
      </c>
    </row>
    <row r="140">
      <c r="A140" s="13" t="s">
        <v>1023</v>
      </c>
    </row>
    <row r="141">
      <c r="A141" s="13" t="s">
        <v>1024</v>
      </c>
    </row>
    <row r="142">
      <c r="A142" s="13" t="s">
        <v>1025</v>
      </c>
    </row>
    <row r="143">
      <c r="A143" s="13" t="s">
        <v>1026</v>
      </c>
    </row>
    <row r="144">
      <c r="A144" s="13" t="s">
        <v>1027</v>
      </c>
    </row>
    <row r="145">
      <c r="A145" s="13" t="s">
        <v>1028</v>
      </c>
    </row>
    <row r="146">
      <c r="A146" s="13" t="s">
        <v>1029</v>
      </c>
    </row>
    <row r="147">
      <c r="A147" s="13" t="s">
        <v>1030</v>
      </c>
    </row>
    <row r="148">
      <c r="A148" s="13" t="s">
        <v>1031</v>
      </c>
    </row>
    <row r="149">
      <c r="A149" s="13" t="s">
        <v>1032</v>
      </c>
    </row>
    <row r="150">
      <c r="A150" s="13" t="s">
        <v>1033</v>
      </c>
    </row>
    <row r="151">
      <c r="A151" s="13" t="s">
        <v>1034</v>
      </c>
    </row>
    <row r="152">
      <c r="A152" s="13" t="s">
        <v>1035</v>
      </c>
    </row>
    <row r="153">
      <c r="A153" s="13" t="s">
        <v>1036</v>
      </c>
    </row>
    <row r="154">
      <c r="A154" s="13" t="s">
        <v>1037</v>
      </c>
    </row>
    <row r="155">
      <c r="A155" s="13" t="s">
        <v>1038</v>
      </c>
    </row>
    <row r="156">
      <c r="A156" s="13" t="s">
        <v>1039</v>
      </c>
    </row>
    <row r="157">
      <c r="A157" s="13" t="s">
        <v>1040</v>
      </c>
    </row>
    <row r="158">
      <c r="A158" s="13" t="s">
        <v>1041</v>
      </c>
    </row>
    <row r="159">
      <c r="A159" s="13" t="s">
        <v>1042</v>
      </c>
    </row>
    <row r="160">
      <c r="A160" s="13" t="s">
        <v>1043</v>
      </c>
    </row>
    <row r="161">
      <c r="A161" s="13" t="s">
        <v>1044</v>
      </c>
    </row>
    <row r="162">
      <c r="A162" s="13" t="s">
        <v>1045</v>
      </c>
    </row>
    <row r="163">
      <c r="A163" s="13" t="s">
        <v>1046</v>
      </c>
    </row>
    <row r="164">
      <c r="A164" s="13" t="s">
        <v>1047</v>
      </c>
    </row>
    <row r="165">
      <c r="A165" s="13" t="s">
        <v>1048</v>
      </c>
    </row>
    <row r="166">
      <c r="A166" s="13" t="s">
        <v>1049</v>
      </c>
    </row>
    <row r="167">
      <c r="A167" s="13" t="s">
        <v>1050</v>
      </c>
    </row>
    <row r="168">
      <c r="A168" s="13" t="s">
        <v>1051</v>
      </c>
    </row>
    <row r="169">
      <c r="A169" s="13" t="s">
        <v>1052</v>
      </c>
    </row>
    <row r="170">
      <c r="A170" s="13" t="s">
        <v>946</v>
      </c>
    </row>
    <row r="171">
      <c r="A171" s="13" t="s">
        <v>1053</v>
      </c>
    </row>
    <row r="172">
      <c r="A172" s="13" t="s">
        <v>1054</v>
      </c>
    </row>
    <row r="173">
      <c r="A173" s="13" t="s">
        <v>1029</v>
      </c>
    </row>
    <row r="174">
      <c r="A174" s="13" t="s">
        <v>1055</v>
      </c>
    </row>
    <row r="175">
      <c r="A175" s="13" t="s">
        <v>1056</v>
      </c>
    </row>
    <row r="176">
      <c r="A176" s="13" t="s">
        <v>1057</v>
      </c>
    </row>
    <row r="177">
      <c r="A177" s="13" t="s">
        <v>1058</v>
      </c>
    </row>
    <row r="178">
      <c r="A178" s="13" t="s">
        <v>1059</v>
      </c>
    </row>
    <row r="179">
      <c r="A179" s="13" t="s">
        <v>1060</v>
      </c>
    </row>
    <row r="180">
      <c r="A180" s="13" t="s">
        <v>1061</v>
      </c>
    </row>
    <row r="181">
      <c r="A181" s="13" t="s">
        <v>1062</v>
      </c>
    </row>
    <row r="182">
      <c r="A182" s="13" t="s">
        <v>1063</v>
      </c>
    </row>
    <row r="183">
      <c r="A183" s="13" t="s">
        <v>1064</v>
      </c>
    </row>
    <row r="184">
      <c r="A184" s="13" t="s">
        <v>1065</v>
      </c>
    </row>
    <row r="185">
      <c r="A185" s="13" t="s">
        <v>1066</v>
      </c>
    </row>
    <row r="186">
      <c r="A186" s="13" t="s">
        <v>1067</v>
      </c>
    </row>
    <row r="187">
      <c r="A187" s="13" t="s">
        <v>1068</v>
      </c>
    </row>
    <row r="188">
      <c r="A188" s="13" t="s">
        <v>1069</v>
      </c>
    </row>
    <row r="189">
      <c r="A189" s="13" t="s">
        <v>1070</v>
      </c>
    </row>
    <row r="190">
      <c r="A190" s="13" t="s">
        <v>1071</v>
      </c>
    </row>
    <row r="191">
      <c r="A191" s="13" t="s">
        <v>1062</v>
      </c>
    </row>
    <row r="192">
      <c r="A192" s="13" t="s">
        <v>1072</v>
      </c>
    </row>
    <row r="193">
      <c r="A193" s="13" t="s">
        <v>1073</v>
      </c>
    </row>
    <row r="194">
      <c r="A194" s="13" t="s">
        <v>1074</v>
      </c>
    </row>
    <row r="195">
      <c r="A195" s="13" t="s">
        <v>1075</v>
      </c>
    </row>
    <row r="196">
      <c r="A196" s="13" t="s">
        <v>1076</v>
      </c>
    </row>
    <row r="197">
      <c r="A197" s="13" t="s">
        <v>1077</v>
      </c>
    </row>
    <row r="198">
      <c r="A198" s="13" t="s">
        <v>1029</v>
      </c>
    </row>
    <row r="199">
      <c r="A199" s="13" t="s">
        <v>1075</v>
      </c>
    </row>
    <row r="200">
      <c r="A200" s="13" t="s">
        <v>912</v>
      </c>
    </row>
    <row r="201">
      <c r="A201" s="13" t="s">
        <v>1078</v>
      </c>
    </row>
    <row r="202">
      <c r="A202" s="13" t="s">
        <v>1077</v>
      </c>
    </row>
    <row r="203">
      <c r="A203" s="13" t="s">
        <v>1029</v>
      </c>
    </row>
    <row r="204">
      <c r="A204" s="13" t="s">
        <v>1079</v>
      </c>
    </row>
    <row r="205">
      <c r="A205" s="13" t="s">
        <v>1080</v>
      </c>
    </row>
    <row r="206">
      <c r="A206" s="13" t="s">
        <v>903</v>
      </c>
    </row>
    <row r="207">
      <c r="A207" s="13" t="s">
        <v>1081</v>
      </c>
    </row>
    <row r="208">
      <c r="A208" s="13" t="s">
        <v>1082</v>
      </c>
    </row>
    <row r="209">
      <c r="A209" s="13" t="s">
        <v>1083</v>
      </c>
    </row>
    <row r="210">
      <c r="A210" s="13" t="s">
        <v>1079</v>
      </c>
    </row>
    <row r="211">
      <c r="A211" s="13" t="s">
        <v>1084</v>
      </c>
    </row>
    <row r="212">
      <c r="A212" s="13" t="s">
        <v>903</v>
      </c>
    </row>
    <row r="213">
      <c r="A213" s="13" t="s">
        <v>1085</v>
      </c>
    </row>
    <row r="214">
      <c r="A214" s="13" t="s">
        <v>1086</v>
      </c>
    </row>
    <row r="215">
      <c r="A215" s="13" t="s">
        <v>903</v>
      </c>
    </row>
    <row r="216">
      <c r="A216" s="13" t="s">
        <v>952</v>
      </c>
    </row>
    <row r="217">
      <c r="A217" s="13" t="s">
        <v>941</v>
      </c>
    </row>
    <row r="218">
      <c r="A218" s="13" t="s">
        <v>1087</v>
      </c>
    </row>
    <row r="219">
      <c r="A219" s="13" t="s">
        <v>1088</v>
      </c>
    </row>
    <row r="220">
      <c r="A220" s="13" t="s">
        <v>1089</v>
      </c>
    </row>
    <row r="221">
      <c r="A221" s="13" t="s">
        <v>1090</v>
      </c>
    </row>
    <row r="222">
      <c r="A222" s="13" t="s">
        <v>1081</v>
      </c>
    </row>
    <row r="223">
      <c r="A223" s="13" t="s">
        <v>1091</v>
      </c>
    </row>
    <row r="224">
      <c r="A224" s="13" t="s">
        <v>1092</v>
      </c>
    </row>
    <row r="225">
      <c r="A225" s="13" t="s">
        <v>1093</v>
      </c>
    </row>
    <row r="226">
      <c r="A226" s="13" t="s">
        <v>1094</v>
      </c>
    </row>
    <row r="227">
      <c r="A227" s="13" t="s">
        <v>1095</v>
      </c>
    </row>
    <row r="228">
      <c r="A228" s="13" t="s">
        <v>1096</v>
      </c>
    </row>
    <row r="229">
      <c r="A229" s="13" t="s">
        <v>1097</v>
      </c>
    </row>
    <row r="230">
      <c r="A230" s="13" t="s">
        <v>1098</v>
      </c>
    </row>
    <row r="231">
      <c r="A231" s="13" t="s">
        <v>1099</v>
      </c>
    </row>
    <row r="232">
      <c r="A232" s="13" t="s">
        <v>1100</v>
      </c>
    </row>
    <row r="233">
      <c r="A233" s="13" t="s">
        <v>1101</v>
      </c>
    </row>
    <row r="234">
      <c r="A234" s="13" t="s">
        <v>1102</v>
      </c>
    </row>
    <row r="235">
      <c r="A235" s="13" t="s">
        <v>1103</v>
      </c>
    </row>
    <row r="236">
      <c r="A236" s="13" t="s">
        <v>1104</v>
      </c>
    </row>
    <row r="237">
      <c r="A237" s="13" t="s">
        <v>1105</v>
      </c>
    </row>
    <row r="238">
      <c r="A238" s="13" t="s">
        <v>1106</v>
      </c>
    </row>
    <row r="239">
      <c r="A239" s="13" t="s">
        <v>1107</v>
      </c>
    </row>
    <row r="240">
      <c r="A240" s="13" t="s">
        <v>1108</v>
      </c>
    </row>
    <row r="241">
      <c r="A241" s="13" t="s">
        <v>1109</v>
      </c>
    </row>
    <row r="242">
      <c r="A242" s="13" t="s">
        <v>1110</v>
      </c>
    </row>
    <row r="243">
      <c r="A243" s="13" t="s">
        <v>902</v>
      </c>
    </row>
    <row r="244">
      <c r="A244" s="13" t="s">
        <v>1111</v>
      </c>
    </row>
    <row r="245">
      <c r="A245" s="13" t="s">
        <v>1112</v>
      </c>
    </row>
    <row r="246">
      <c r="A246" s="13" t="s">
        <v>1113</v>
      </c>
    </row>
    <row r="247">
      <c r="A247" s="13" t="s">
        <v>1114</v>
      </c>
    </row>
    <row r="248">
      <c r="A248" s="13" t="s">
        <v>1115</v>
      </c>
    </row>
    <row r="249">
      <c r="A249" s="13" t="s">
        <v>1116</v>
      </c>
    </row>
    <row r="250">
      <c r="A250" s="13" t="s">
        <v>1117</v>
      </c>
    </row>
    <row r="251">
      <c r="A251" s="13" t="s">
        <v>902</v>
      </c>
    </row>
    <row r="252">
      <c r="A252" s="13" t="s">
        <v>1118</v>
      </c>
    </row>
    <row r="253">
      <c r="A253" s="13" t="s">
        <v>1119</v>
      </c>
    </row>
    <row r="254">
      <c r="A254" s="13" t="s">
        <v>1120</v>
      </c>
    </row>
    <row r="255">
      <c r="A255" s="13" t="s">
        <v>1121</v>
      </c>
    </row>
    <row r="256">
      <c r="A256" s="13" t="s">
        <v>904</v>
      </c>
    </row>
    <row r="257">
      <c r="A257" s="13" t="s">
        <v>1122</v>
      </c>
    </row>
    <row r="258">
      <c r="A258" s="13" t="s">
        <v>1123</v>
      </c>
    </row>
    <row r="259">
      <c r="A259" s="13" t="s">
        <v>1124</v>
      </c>
    </row>
    <row r="260">
      <c r="A260" s="13" t="s">
        <v>1125</v>
      </c>
    </row>
    <row r="261">
      <c r="A261" s="13" t="s">
        <v>1126</v>
      </c>
    </row>
    <row r="262">
      <c r="A262" s="13" t="s">
        <v>1127</v>
      </c>
    </row>
    <row r="263">
      <c r="A263" s="13" t="s">
        <v>1128</v>
      </c>
    </row>
    <row r="264">
      <c r="A264" s="13" t="s">
        <v>1129</v>
      </c>
    </row>
    <row r="265">
      <c r="A265" s="13" t="s">
        <v>1119</v>
      </c>
    </row>
    <row r="266">
      <c r="A266" s="13" t="s">
        <v>1130</v>
      </c>
    </row>
    <row r="267">
      <c r="A267" s="13" t="s">
        <v>1131</v>
      </c>
    </row>
    <row r="268">
      <c r="A268" s="13" t="s">
        <v>1132</v>
      </c>
    </row>
    <row r="269">
      <c r="A269" s="13" t="s">
        <v>1133</v>
      </c>
    </row>
    <row r="270">
      <c r="A270" s="13" t="s">
        <v>1126</v>
      </c>
    </row>
    <row r="271">
      <c r="A271" s="13" t="s">
        <v>1134</v>
      </c>
    </row>
    <row r="272">
      <c r="A272" s="13" t="s">
        <v>1135</v>
      </c>
    </row>
    <row r="273">
      <c r="A273" s="13" t="s">
        <v>1019</v>
      </c>
    </row>
    <row r="274">
      <c r="A274" s="13" t="s">
        <v>1136</v>
      </c>
    </row>
    <row r="275">
      <c r="A275" s="13" t="s">
        <v>1118</v>
      </c>
    </row>
    <row r="276">
      <c r="A276" s="13" t="s">
        <v>1137</v>
      </c>
    </row>
    <row r="277">
      <c r="A277" s="13" t="s">
        <v>1138</v>
      </c>
    </row>
    <row r="278">
      <c r="A278" s="13" t="s">
        <v>1139</v>
      </c>
    </row>
    <row r="279">
      <c r="A279" s="13" t="s">
        <v>1140</v>
      </c>
    </row>
    <row r="280">
      <c r="A280" s="13" t="s">
        <v>1141</v>
      </c>
    </row>
    <row r="281">
      <c r="A281" s="13" t="s">
        <v>1142</v>
      </c>
    </row>
    <row r="282">
      <c r="A282" s="13" t="s">
        <v>1143</v>
      </c>
    </row>
    <row r="283">
      <c r="A283" s="13" t="s">
        <v>1144</v>
      </c>
    </row>
    <row r="284">
      <c r="A284" s="13" t="s">
        <v>1075</v>
      </c>
    </row>
    <row r="285">
      <c r="A285" s="13" t="s">
        <v>1145</v>
      </c>
    </row>
    <row r="286">
      <c r="A286" s="13" t="s">
        <v>1146</v>
      </c>
    </row>
    <row r="287">
      <c r="A287" s="13" t="s">
        <v>1147</v>
      </c>
    </row>
    <row r="288">
      <c r="A288" s="13" t="s">
        <v>1148</v>
      </c>
    </row>
    <row r="289">
      <c r="A289" s="13" t="s">
        <v>1149</v>
      </c>
    </row>
    <row r="290">
      <c r="A290" s="13" t="s">
        <v>1150</v>
      </c>
    </row>
    <row r="291">
      <c r="A291" s="13" t="s">
        <v>1151</v>
      </c>
    </row>
    <row r="292">
      <c r="A292" s="13" t="s">
        <v>1152</v>
      </c>
    </row>
    <row r="293">
      <c r="A293" s="13" t="s">
        <v>1075</v>
      </c>
    </row>
    <row r="294">
      <c r="A294" s="13" t="s">
        <v>1153</v>
      </c>
    </row>
    <row r="295">
      <c r="A295" s="13" t="s">
        <v>1154</v>
      </c>
    </row>
    <row r="296">
      <c r="A296" s="13" t="s">
        <v>1155</v>
      </c>
    </row>
    <row r="297">
      <c r="A297" s="13" t="s">
        <v>1156</v>
      </c>
    </row>
    <row r="298">
      <c r="A298" s="13" t="s">
        <v>1157</v>
      </c>
    </row>
    <row r="299">
      <c r="A299" s="13" t="s">
        <v>1158</v>
      </c>
    </row>
    <row r="300">
      <c r="A300" s="13" t="s">
        <v>1159</v>
      </c>
    </row>
    <row r="301">
      <c r="A301" s="13" t="s">
        <v>1060</v>
      </c>
    </row>
    <row r="302">
      <c r="A302" s="13" t="s">
        <v>1160</v>
      </c>
    </row>
    <row r="303">
      <c r="A303" s="13" t="s">
        <v>1161</v>
      </c>
    </row>
    <row r="304">
      <c r="A304" s="13" t="s">
        <v>1162</v>
      </c>
    </row>
    <row r="305">
      <c r="A305" s="13" t="s">
        <v>1163</v>
      </c>
    </row>
    <row r="306">
      <c r="A306" s="13" t="s">
        <v>1164</v>
      </c>
    </row>
    <row r="307">
      <c r="A307" s="13" t="s">
        <v>1165</v>
      </c>
    </row>
    <row r="308">
      <c r="A308" s="13" t="s">
        <v>1166</v>
      </c>
    </row>
    <row r="309">
      <c r="A309" s="13" t="s">
        <v>1167</v>
      </c>
    </row>
    <row r="310">
      <c r="A310" s="13" t="s">
        <v>1168</v>
      </c>
    </row>
    <row r="311">
      <c r="A311" s="13" t="s">
        <v>1048</v>
      </c>
    </row>
    <row r="312">
      <c r="A312" s="13" t="s">
        <v>1169</v>
      </c>
    </row>
    <row r="313">
      <c r="A313" s="13" t="s">
        <v>1170</v>
      </c>
    </row>
    <row r="314">
      <c r="A314" s="13" t="s">
        <v>1171</v>
      </c>
    </row>
    <row r="315">
      <c r="A315" s="13" t="s">
        <v>1172</v>
      </c>
    </row>
    <row r="316">
      <c r="A316" s="13" t="s">
        <v>1158</v>
      </c>
    </row>
    <row r="317">
      <c r="A317" s="13" t="s">
        <v>1156</v>
      </c>
    </row>
    <row r="318">
      <c r="A318" s="13" t="s">
        <v>1157</v>
      </c>
    </row>
    <row r="319">
      <c r="A319" s="13" t="s">
        <v>1173</v>
      </c>
    </row>
    <row r="320">
      <c r="A320" s="13" t="s">
        <v>1174</v>
      </c>
    </row>
    <row r="321">
      <c r="A321" s="13" t="s">
        <v>1073</v>
      </c>
    </row>
    <row r="322">
      <c r="A322" s="13" t="s">
        <v>1161</v>
      </c>
    </row>
    <row r="323">
      <c r="A323" s="13" t="s">
        <v>1048</v>
      </c>
    </row>
    <row r="324">
      <c r="A324" s="13" t="s">
        <v>1163</v>
      </c>
    </row>
    <row r="325">
      <c r="A325" s="13" t="s">
        <v>1164</v>
      </c>
    </row>
    <row r="326">
      <c r="A326" s="13" t="s">
        <v>1062</v>
      </c>
    </row>
    <row r="327">
      <c r="A327" s="13" t="s">
        <v>1167</v>
      </c>
    </row>
    <row r="328">
      <c r="A328" s="13" t="s">
        <v>1175</v>
      </c>
    </row>
    <row r="329">
      <c r="A329" s="13" t="s">
        <v>1170</v>
      </c>
    </row>
    <row r="330">
      <c r="A330" s="13" t="s">
        <v>1176</v>
      </c>
    </row>
    <row r="331">
      <c r="A331" s="13" t="s">
        <v>1177</v>
      </c>
    </row>
    <row r="332">
      <c r="A332" s="13" t="s">
        <v>1158</v>
      </c>
    </row>
    <row r="333">
      <c r="A333" s="13" t="s">
        <v>1173</v>
      </c>
    </row>
    <row r="334">
      <c r="A334" s="13" t="s">
        <v>1178</v>
      </c>
    </row>
    <row r="335">
      <c r="A335" s="13" t="s">
        <v>1179</v>
      </c>
    </row>
    <row r="336">
      <c r="A336" s="13" t="s">
        <v>1180</v>
      </c>
    </row>
    <row r="337">
      <c r="A337" s="13" t="s">
        <v>1181</v>
      </c>
    </row>
    <row r="338">
      <c r="A338" s="13" t="s">
        <v>1182</v>
      </c>
    </row>
    <row r="339">
      <c r="A339" s="13" t="s">
        <v>1183</v>
      </c>
    </row>
    <row r="340">
      <c r="A340" s="13" t="s">
        <v>1184</v>
      </c>
    </row>
    <row r="341">
      <c r="A341" s="13" t="s">
        <v>1185</v>
      </c>
    </row>
    <row r="342">
      <c r="A342" s="13" t="s">
        <v>1186</v>
      </c>
    </row>
    <row r="343">
      <c r="A343" s="13" t="s">
        <v>1187</v>
      </c>
    </row>
    <row r="344">
      <c r="A344" s="13" t="s">
        <v>1188</v>
      </c>
    </row>
    <row r="345">
      <c r="A345" s="13" t="s">
        <v>1189</v>
      </c>
    </row>
    <row r="346">
      <c r="A346" s="13" t="s">
        <v>1190</v>
      </c>
    </row>
    <row r="347">
      <c r="A347" s="13" t="s">
        <v>1191</v>
      </c>
    </row>
    <row r="348">
      <c r="A348" s="13" t="s">
        <v>1192</v>
      </c>
    </row>
    <row r="349">
      <c r="A349" s="13" t="s">
        <v>1193</v>
      </c>
    </row>
    <row r="350">
      <c r="A350" s="13" t="s">
        <v>1194</v>
      </c>
    </row>
    <row r="351">
      <c r="A351" s="13" t="s">
        <v>1075</v>
      </c>
    </row>
    <row r="352">
      <c r="A352" s="13" t="s">
        <v>1062</v>
      </c>
    </row>
    <row r="353">
      <c r="A353" s="13" t="s">
        <v>1195</v>
      </c>
    </row>
    <row r="354">
      <c r="A354" s="13" t="s">
        <v>1196</v>
      </c>
    </row>
    <row r="355">
      <c r="A355" s="13" t="s">
        <v>1197</v>
      </c>
    </row>
    <row r="356">
      <c r="A356" s="13" t="s">
        <v>1198</v>
      </c>
    </row>
    <row r="357">
      <c r="A357" s="13" t="s">
        <v>1199</v>
      </c>
    </row>
    <row r="358">
      <c r="A358" s="13" t="s">
        <v>1062</v>
      </c>
    </row>
    <row r="359">
      <c r="A359" s="13" t="s">
        <v>1200</v>
      </c>
    </row>
    <row r="360">
      <c r="A360" s="13" t="s">
        <v>1201</v>
      </c>
    </row>
    <row r="361">
      <c r="A361" s="13" t="s">
        <v>1202</v>
      </c>
    </row>
    <row r="362">
      <c r="A362" s="13" t="s">
        <v>1194</v>
      </c>
    </row>
    <row r="363">
      <c r="A363" s="13" t="s">
        <v>1203</v>
      </c>
    </row>
    <row r="364">
      <c r="A364" s="13" t="s">
        <v>1204</v>
      </c>
    </row>
    <row r="365">
      <c r="A365" s="13" t="s">
        <v>1029</v>
      </c>
    </row>
    <row r="366">
      <c r="A366" s="13" t="s">
        <v>1205</v>
      </c>
    </row>
    <row r="367">
      <c r="A367" s="13" t="s">
        <v>1175</v>
      </c>
    </row>
    <row r="368">
      <c r="A368" s="13" t="s">
        <v>1206</v>
      </c>
    </row>
    <row r="369">
      <c r="A369" s="13" t="s">
        <v>1207</v>
      </c>
    </row>
    <row r="370">
      <c r="A370" s="13" t="s">
        <v>1208</v>
      </c>
    </row>
    <row r="371">
      <c r="A371" s="13" t="s">
        <v>1209</v>
      </c>
    </row>
    <row r="372">
      <c r="A372" s="13" t="s">
        <v>1210</v>
      </c>
    </row>
    <row r="373">
      <c r="A373" s="13" t="s">
        <v>925</v>
      </c>
    </row>
    <row r="374">
      <c r="A374" s="13" t="s">
        <v>1211</v>
      </c>
    </row>
    <row r="375">
      <c r="A375" s="13" t="s">
        <v>1212</v>
      </c>
    </row>
    <row r="376">
      <c r="A376" s="13" t="s">
        <v>1213</v>
      </c>
    </row>
    <row r="377">
      <c r="A377" s="13" t="s">
        <v>1214</v>
      </c>
    </row>
    <row r="378">
      <c r="A378" s="13" t="s">
        <v>1215</v>
      </c>
    </row>
    <row r="379">
      <c r="A379" s="13" t="s">
        <v>1216</v>
      </c>
    </row>
    <row r="380">
      <c r="A380" s="13" t="s">
        <v>1205</v>
      </c>
    </row>
    <row r="381">
      <c r="A381" s="13" t="s">
        <v>1217</v>
      </c>
    </row>
    <row r="382">
      <c r="A382" s="13" t="s">
        <v>954</v>
      </c>
    </row>
    <row r="383">
      <c r="A383" s="13" t="s">
        <v>1199</v>
      </c>
    </row>
    <row r="384">
      <c r="A384" s="13" t="s">
        <v>1019</v>
      </c>
    </row>
    <row r="385">
      <c r="A385" s="13" t="s">
        <v>1204</v>
      </c>
    </row>
    <row r="386">
      <c r="A386" s="13" t="s">
        <v>1218</v>
      </c>
    </row>
    <row r="387">
      <c r="A387" s="13" t="s">
        <v>1219</v>
      </c>
    </row>
    <row r="388">
      <c r="A388" s="13" t="s">
        <v>1220</v>
      </c>
    </row>
    <row r="389">
      <c r="A389" s="13" t="s">
        <v>1221</v>
      </c>
    </row>
    <row r="390">
      <c r="A390" s="13" t="s">
        <v>1222</v>
      </c>
    </row>
    <row r="391">
      <c r="A391" s="13" t="s">
        <v>1223</v>
      </c>
    </row>
    <row r="392">
      <c r="A392" s="13" t="s">
        <v>1224</v>
      </c>
    </row>
    <row r="393">
      <c r="A393" s="13" t="s">
        <v>1225</v>
      </c>
    </row>
    <row r="394">
      <c r="A394" s="13" t="s">
        <v>1048</v>
      </c>
    </row>
    <row r="395">
      <c r="A395" s="13" t="s">
        <v>1226</v>
      </c>
    </row>
    <row r="396">
      <c r="A396" s="13" t="s">
        <v>1227</v>
      </c>
    </row>
    <row r="397">
      <c r="A397" s="13" t="s">
        <v>1228</v>
      </c>
    </row>
    <row r="398">
      <c r="A398" s="13" t="s">
        <v>1229</v>
      </c>
    </row>
    <row r="399">
      <c r="A399" s="13" t="s">
        <v>1230</v>
      </c>
    </row>
    <row r="400">
      <c r="A400" s="13" t="s">
        <v>1231</v>
      </c>
    </row>
    <row r="401">
      <c r="A401" s="13" t="s">
        <v>1232</v>
      </c>
    </row>
    <row r="402">
      <c r="A402" s="13" t="s">
        <v>1233</v>
      </c>
    </row>
    <row r="403">
      <c r="A403" s="13" t="s">
        <v>1234</v>
      </c>
    </row>
    <row r="404">
      <c r="A404" s="13" t="s">
        <v>1235</v>
      </c>
    </row>
    <row r="405">
      <c r="A405" s="13" t="s">
        <v>1236</v>
      </c>
    </row>
    <row r="406">
      <c r="A406" s="13" t="s">
        <v>1237</v>
      </c>
    </row>
    <row r="407">
      <c r="A407" s="13" t="s">
        <v>1238</v>
      </c>
    </row>
    <row r="408">
      <c r="A408" s="13" t="s">
        <v>904</v>
      </c>
    </row>
    <row r="409">
      <c r="A409" s="13" t="s">
        <v>952</v>
      </c>
    </row>
    <row r="410">
      <c r="A410" s="13" t="s">
        <v>902</v>
      </c>
    </row>
    <row r="411">
      <c r="A411" s="13" t="s">
        <v>1117</v>
      </c>
    </row>
    <row r="412">
      <c r="A412" s="13" t="s">
        <v>1229</v>
      </c>
    </row>
    <row r="413">
      <c r="A413" s="13" t="s">
        <v>998</v>
      </c>
    </row>
    <row r="414">
      <c r="A414" s="13" t="s">
        <v>1239</v>
      </c>
    </row>
    <row r="415">
      <c r="A415" s="13" t="s">
        <v>933</v>
      </c>
    </row>
    <row r="416">
      <c r="A416" s="13" t="s">
        <v>977</v>
      </c>
    </row>
    <row r="417">
      <c r="A417" s="13" t="s">
        <v>1240</v>
      </c>
    </row>
    <row r="418">
      <c r="A418" s="13" t="s">
        <v>1241</v>
      </c>
    </row>
    <row r="419">
      <c r="A419" s="13" t="s">
        <v>1242</v>
      </c>
    </row>
    <row r="420">
      <c r="A420" s="13" t="s">
        <v>1233</v>
      </c>
    </row>
    <row r="421">
      <c r="A421" s="13" t="s">
        <v>993</v>
      </c>
    </row>
    <row r="422">
      <c r="A422" s="13" t="s">
        <v>1243</v>
      </c>
    </row>
    <row r="423">
      <c r="A423" s="13" t="s">
        <v>1244</v>
      </c>
    </row>
    <row r="424">
      <c r="A424" s="13" t="s">
        <v>1245</v>
      </c>
    </row>
    <row r="425">
      <c r="A425" s="13" t="s">
        <v>931</v>
      </c>
    </row>
    <row r="426">
      <c r="A426" s="13" t="s">
        <v>1246</v>
      </c>
    </row>
    <row r="427">
      <c r="A427" s="13" t="s">
        <v>1247</v>
      </c>
    </row>
    <row r="428">
      <c r="A428" s="13" t="s">
        <v>1248</v>
      </c>
    </row>
    <row r="429">
      <c r="A429" s="13" t="s">
        <v>1249</v>
      </c>
    </row>
    <row r="430">
      <c r="A430" s="13" t="s">
        <v>1250</v>
      </c>
    </row>
    <row r="431">
      <c r="A431" s="13" t="s">
        <v>1251</v>
      </c>
    </row>
    <row r="432">
      <c r="A432" s="13" t="s">
        <v>1252</v>
      </c>
    </row>
    <row r="433">
      <c r="A433" s="13" t="s">
        <v>1253</v>
      </c>
    </row>
    <row r="434">
      <c r="A434" s="13" t="s">
        <v>971</v>
      </c>
    </row>
    <row r="435">
      <c r="A435" s="13" t="s">
        <v>1109</v>
      </c>
    </row>
    <row r="436">
      <c r="A436" s="13" t="s">
        <v>1254</v>
      </c>
    </row>
    <row r="437">
      <c r="A437" s="13" t="s">
        <v>1255</v>
      </c>
    </row>
    <row r="438">
      <c r="A438" s="13" t="s">
        <v>1256</v>
      </c>
    </row>
    <row r="439">
      <c r="A439" s="13" t="s">
        <v>1257</v>
      </c>
    </row>
    <row r="440">
      <c r="A440" s="13" t="s">
        <v>1258</v>
      </c>
    </row>
    <row r="441">
      <c r="A441" s="13" t="s">
        <v>1259</v>
      </c>
    </row>
    <row r="442">
      <c r="A442" s="13" t="s">
        <v>1260</v>
      </c>
    </row>
    <row r="443">
      <c r="A443" s="13" t="s">
        <v>1261</v>
      </c>
    </row>
    <row r="444">
      <c r="A444" s="13" t="s">
        <v>1262</v>
      </c>
    </row>
    <row r="445">
      <c r="A445" s="13" t="s">
        <v>1263</v>
      </c>
    </row>
    <row r="446">
      <c r="A446" s="13" t="s">
        <v>1264</v>
      </c>
    </row>
    <row r="447">
      <c r="A447" s="13" t="s">
        <v>1265</v>
      </c>
    </row>
    <row r="448">
      <c r="A448" s="13" t="s">
        <v>1266</v>
      </c>
    </row>
    <row r="449">
      <c r="A449" s="13" t="s">
        <v>1267</v>
      </c>
    </row>
    <row r="450">
      <c r="A450" s="13" t="s">
        <v>1268</v>
      </c>
    </row>
    <row r="451">
      <c r="A451" s="13" t="s">
        <v>1269</v>
      </c>
    </row>
    <row r="452">
      <c r="A452" s="13" t="s">
        <v>1270</v>
      </c>
    </row>
    <row r="453">
      <c r="A453" s="13" t="s">
        <v>955</v>
      </c>
    </row>
    <row r="454">
      <c r="A454" s="13" t="s">
        <v>1271</v>
      </c>
    </row>
    <row r="455">
      <c r="A455" s="13" t="s">
        <v>1272</v>
      </c>
    </row>
    <row r="456">
      <c r="A456" s="13" t="s">
        <v>1273</v>
      </c>
    </row>
    <row r="457">
      <c r="A457" s="13" t="s">
        <v>1274</v>
      </c>
    </row>
    <row r="458">
      <c r="A458" s="13" t="s">
        <v>1275</v>
      </c>
    </row>
    <row r="459">
      <c r="A459" s="13" t="s">
        <v>1276</v>
      </c>
    </row>
    <row r="460">
      <c r="A460" s="13" t="s">
        <v>1204</v>
      </c>
    </row>
    <row r="461">
      <c r="A461" s="13" t="s">
        <v>1277</v>
      </c>
    </row>
    <row r="462">
      <c r="A462" s="13" t="s">
        <v>1278</v>
      </c>
    </row>
    <row r="463">
      <c r="A463" s="13" t="s">
        <v>1279</v>
      </c>
    </row>
    <row r="464">
      <c r="A464" s="13" t="s">
        <v>1280</v>
      </c>
    </row>
    <row r="465">
      <c r="A465" s="13" t="s">
        <v>1281</v>
      </c>
    </row>
    <row r="466">
      <c r="A466" s="13" t="s">
        <v>1282</v>
      </c>
    </row>
    <row r="467">
      <c r="A467" s="13" t="s">
        <v>1283</v>
      </c>
    </row>
    <row r="468">
      <c r="A468" s="13" t="s">
        <v>1284</v>
      </c>
    </row>
    <row r="469">
      <c r="A469" s="13" t="s">
        <v>1285</v>
      </c>
    </row>
    <row r="470">
      <c r="A470" s="13" t="s">
        <v>1286</v>
      </c>
    </row>
    <row r="471">
      <c r="A471" s="13" t="s">
        <v>1287</v>
      </c>
    </row>
    <row r="472">
      <c r="A472" s="13" t="s">
        <v>1288</v>
      </c>
    </row>
    <row r="473">
      <c r="A473" s="13" t="s">
        <v>1289</v>
      </c>
    </row>
    <row r="474">
      <c r="A474" s="13" t="s">
        <v>1290</v>
      </c>
    </row>
    <row r="475">
      <c r="A475" s="13" t="s">
        <v>1291</v>
      </c>
    </row>
    <row r="476">
      <c r="A476" s="13" t="s">
        <v>1292</v>
      </c>
    </row>
    <row r="477">
      <c r="A477" s="13" t="s">
        <v>1293</v>
      </c>
    </row>
    <row r="478">
      <c r="A478" s="13" t="s">
        <v>1294</v>
      </c>
    </row>
    <row r="479">
      <c r="A479" s="13" t="s">
        <v>1295</v>
      </c>
    </row>
    <row r="480">
      <c r="A480" s="13" t="s">
        <v>1296</v>
      </c>
    </row>
    <row r="481">
      <c r="A481" s="13" t="s">
        <v>1297</v>
      </c>
    </row>
    <row r="482">
      <c r="A482" s="13" t="s">
        <v>1298</v>
      </c>
    </row>
    <row r="483">
      <c r="A483" s="13" t="s">
        <v>1299</v>
      </c>
    </row>
    <row r="484">
      <c r="A484" s="13" t="s">
        <v>1300</v>
      </c>
    </row>
    <row r="485">
      <c r="A485" s="13" t="s">
        <v>1301</v>
      </c>
    </row>
    <row r="486">
      <c r="A486" s="13" t="s">
        <v>1302</v>
      </c>
    </row>
    <row r="487">
      <c r="A487" s="13" t="s">
        <v>1303</v>
      </c>
    </row>
    <row r="488">
      <c r="A488" s="13" t="s">
        <v>1304</v>
      </c>
    </row>
    <row r="489">
      <c r="A489" s="13" t="s">
        <v>1243</v>
      </c>
    </row>
    <row r="490">
      <c r="A490" s="13" t="s">
        <v>1305</v>
      </c>
    </row>
    <row r="491">
      <c r="A491" s="13" t="s">
        <v>1306</v>
      </c>
    </row>
    <row r="492">
      <c r="A492" s="13" t="s">
        <v>1307</v>
      </c>
    </row>
    <row r="493">
      <c r="A493" s="13" t="s">
        <v>1308</v>
      </c>
    </row>
    <row r="494">
      <c r="A494" s="13" t="s">
        <v>1309</v>
      </c>
    </row>
    <row r="495">
      <c r="A495" s="13" t="s">
        <v>1024</v>
      </c>
    </row>
    <row r="496">
      <c r="A496" s="13" t="s">
        <v>1310</v>
      </c>
    </row>
    <row r="497">
      <c r="A497" s="13" t="s">
        <v>1026</v>
      </c>
    </row>
    <row r="498">
      <c r="A498" s="13" t="s">
        <v>1311</v>
      </c>
    </row>
    <row r="499">
      <c r="A499" s="13" t="s">
        <v>1021</v>
      </c>
    </row>
    <row r="500">
      <c r="A500" s="13" t="s">
        <v>1029</v>
      </c>
    </row>
    <row r="501">
      <c r="A501" s="13" t="s">
        <v>1030</v>
      </c>
    </row>
    <row r="502">
      <c r="A502" s="13" t="s">
        <v>1312</v>
      </c>
    </row>
    <row r="503">
      <c r="A503" s="13" t="s">
        <v>1313</v>
      </c>
    </row>
    <row r="504">
      <c r="A504" s="13" t="s">
        <v>1314</v>
      </c>
    </row>
    <row r="505">
      <c r="A505" s="13" t="s">
        <v>1315</v>
      </c>
    </row>
    <row r="506">
      <c r="A506" s="13" t="s">
        <v>1316</v>
      </c>
    </row>
    <row r="507">
      <c r="A507" s="13" t="s">
        <v>1317</v>
      </c>
    </row>
    <row r="508">
      <c r="A508" s="13" t="s">
        <v>1318</v>
      </c>
    </row>
    <row r="509">
      <c r="A509" s="13" t="s">
        <v>1319</v>
      </c>
    </row>
    <row r="510">
      <c r="A510" s="13" t="s">
        <v>1320</v>
      </c>
    </row>
    <row r="511">
      <c r="A511" s="13" t="s">
        <v>1321</v>
      </c>
    </row>
    <row r="512">
      <c r="A512" s="13" t="s">
        <v>1322</v>
      </c>
    </row>
    <row r="513">
      <c r="A513" s="13" t="s">
        <v>1323</v>
      </c>
    </row>
    <row r="514">
      <c r="A514" s="13" t="s">
        <v>1324</v>
      </c>
    </row>
    <row r="515">
      <c r="A515" s="13" t="s">
        <v>1325</v>
      </c>
    </row>
    <row r="516">
      <c r="A516" s="13" t="s">
        <v>1326</v>
      </c>
    </row>
    <row r="517">
      <c r="A517" s="13" t="s">
        <v>1327</v>
      </c>
    </row>
    <row r="518">
      <c r="A518" s="13" t="s">
        <v>1328</v>
      </c>
    </row>
    <row r="519">
      <c r="A519" s="13" t="s">
        <v>1329</v>
      </c>
    </row>
    <row r="520">
      <c r="A520" s="13" t="s">
        <v>1240</v>
      </c>
    </row>
    <row r="521">
      <c r="A521" s="13" t="s">
        <v>931</v>
      </c>
    </row>
    <row r="522">
      <c r="A522" s="13" t="s">
        <v>961</v>
      </c>
    </row>
    <row r="523">
      <c r="A523" s="13" t="s">
        <v>1330</v>
      </c>
    </row>
    <row r="524">
      <c r="A524" s="13" t="s">
        <v>1331</v>
      </c>
    </row>
    <row r="525">
      <c r="A525" s="13" t="s">
        <v>1332</v>
      </c>
    </row>
    <row r="526">
      <c r="A526" s="13" t="s">
        <v>1333</v>
      </c>
    </row>
    <row r="527">
      <c r="A527" s="13" t="s">
        <v>1334</v>
      </c>
    </row>
    <row r="528">
      <c r="A528" s="13" t="s">
        <v>1335</v>
      </c>
    </row>
    <row r="529">
      <c r="A529" s="13" t="s">
        <v>1336</v>
      </c>
    </row>
    <row r="530">
      <c r="A530" s="13" t="s">
        <v>1337</v>
      </c>
    </row>
    <row r="531">
      <c r="A531" s="13" t="s">
        <v>933</v>
      </c>
    </row>
    <row r="532">
      <c r="A532" s="13" t="s">
        <v>1338</v>
      </c>
    </row>
    <row r="533">
      <c r="A533" s="13" t="s">
        <v>1339</v>
      </c>
    </row>
    <row r="534">
      <c r="A534" s="13" t="s">
        <v>1340</v>
      </c>
    </row>
    <row r="535">
      <c r="A535" s="13" t="s">
        <v>958</v>
      </c>
    </row>
    <row r="536">
      <c r="A536" s="13" t="s">
        <v>953</v>
      </c>
    </row>
    <row r="537">
      <c r="A537" s="13" t="s">
        <v>1341</v>
      </c>
    </row>
    <row r="538">
      <c r="A538" s="13" t="s">
        <v>1342</v>
      </c>
    </row>
    <row r="539">
      <c r="A539" s="13" t="s">
        <v>1343</v>
      </c>
    </row>
    <row r="540">
      <c r="A540" s="13" t="s">
        <v>1344</v>
      </c>
    </row>
    <row r="541">
      <c r="A541" s="13" t="s">
        <v>1345</v>
      </c>
    </row>
    <row r="542">
      <c r="A542" s="13" t="s">
        <v>1346</v>
      </c>
    </row>
    <row r="543">
      <c r="A543" s="13" t="s">
        <v>1347</v>
      </c>
    </row>
    <row r="544">
      <c r="A544" s="13" t="s">
        <v>1348</v>
      </c>
    </row>
    <row r="545">
      <c r="A545" s="13" t="s">
        <v>1349</v>
      </c>
    </row>
    <row r="546">
      <c r="A546" s="13" t="s">
        <v>1350</v>
      </c>
    </row>
    <row r="547">
      <c r="A547" s="13" t="s">
        <v>943</v>
      </c>
    </row>
    <row r="548">
      <c r="A548" s="13" t="s">
        <v>1351</v>
      </c>
    </row>
    <row r="549">
      <c r="A549" s="13" t="s">
        <v>1352</v>
      </c>
    </row>
    <row r="550">
      <c r="A550" s="13" t="s">
        <v>1353</v>
      </c>
    </row>
    <row r="551">
      <c r="A551" s="13" t="s">
        <v>1354</v>
      </c>
    </row>
    <row r="552">
      <c r="A552" s="13" t="s">
        <v>1355</v>
      </c>
    </row>
    <row r="553">
      <c r="A553" s="13" t="s">
        <v>1356</v>
      </c>
    </row>
    <row r="554">
      <c r="A554" s="13" t="s">
        <v>1357</v>
      </c>
    </row>
    <row r="555">
      <c r="A555" s="13" t="s">
        <v>1358</v>
      </c>
    </row>
    <row r="556">
      <c r="A556" s="13" t="s">
        <v>1359</v>
      </c>
    </row>
    <row r="557">
      <c r="A557" s="13" t="s">
        <v>1360</v>
      </c>
    </row>
    <row r="558">
      <c r="A558" s="13" t="s">
        <v>1361</v>
      </c>
    </row>
    <row r="559">
      <c r="A559" s="13" t="s">
        <v>1362</v>
      </c>
    </row>
    <row r="560">
      <c r="A560" s="13" t="s">
        <v>1243</v>
      </c>
    </row>
    <row r="561">
      <c r="A561" s="13" t="s">
        <v>1363</v>
      </c>
    </row>
    <row r="562">
      <c r="A562" s="13" t="s">
        <v>1364</v>
      </c>
    </row>
    <row r="563">
      <c r="A563" s="13" t="s">
        <v>1365</v>
      </c>
    </row>
    <row r="564">
      <c r="A564" s="13" t="s">
        <v>1366</v>
      </c>
    </row>
    <row r="565">
      <c r="A565" s="13" t="s">
        <v>1367</v>
      </c>
    </row>
    <row r="566">
      <c r="A566" s="13" t="s">
        <v>1368</v>
      </c>
    </row>
    <row r="567">
      <c r="A567" s="13" t="s">
        <v>1369</v>
      </c>
    </row>
    <row r="568">
      <c r="A568" s="13" t="s">
        <v>1370</v>
      </c>
    </row>
    <row r="569">
      <c r="A569" s="13" t="s">
        <v>1371</v>
      </c>
    </row>
    <row r="570">
      <c r="A570" s="13" t="s">
        <v>1372</v>
      </c>
    </row>
    <row r="571">
      <c r="A571" s="13" t="s">
        <v>1373</v>
      </c>
    </row>
    <row r="572">
      <c r="A572" s="13" t="s">
        <v>1374</v>
      </c>
    </row>
    <row r="573">
      <c r="A573" s="13" t="s">
        <v>1375</v>
      </c>
    </row>
    <row r="574">
      <c r="A574" s="13" t="s">
        <v>1296</v>
      </c>
    </row>
    <row r="575">
      <c r="A575" s="13" t="s">
        <v>1376</v>
      </c>
    </row>
    <row r="576">
      <c r="A576" s="13" t="s">
        <v>1109</v>
      </c>
    </row>
    <row r="577">
      <c r="A577" s="13" t="s">
        <v>902</v>
      </c>
    </row>
    <row r="578">
      <c r="A578" s="13" t="s">
        <v>1377</v>
      </c>
    </row>
    <row r="579">
      <c r="A579" s="13" t="s">
        <v>1109</v>
      </c>
    </row>
    <row r="580">
      <c r="A580" s="13" t="s">
        <v>1378</v>
      </c>
    </row>
    <row r="581">
      <c r="A581" s="13" t="s">
        <v>1379</v>
      </c>
    </row>
    <row r="582">
      <c r="A582" s="13" t="s">
        <v>1380</v>
      </c>
    </row>
    <row r="583">
      <c r="A583" s="13" t="s">
        <v>1381</v>
      </c>
    </row>
    <row r="584">
      <c r="A584" s="13" t="s">
        <v>1382</v>
      </c>
    </row>
    <row r="585">
      <c r="A585" s="13" t="s">
        <v>1383</v>
      </c>
    </row>
    <row r="586">
      <c r="A586" s="13" t="s">
        <v>1384</v>
      </c>
    </row>
    <row r="587">
      <c r="A587" s="13" t="s">
        <v>1385</v>
      </c>
    </row>
    <row r="588">
      <c r="A588" s="13" t="s">
        <v>1386</v>
      </c>
    </row>
    <row r="589">
      <c r="A589" s="13" t="s">
        <v>1387</v>
      </c>
    </row>
    <row r="590">
      <c r="A590" s="13" t="s">
        <v>1388</v>
      </c>
    </row>
    <row r="591">
      <c r="A591" s="13" t="s">
        <v>1389</v>
      </c>
    </row>
    <row r="592">
      <c r="A592" s="13" t="s">
        <v>1390</v>
      </c>
    </row>
    <row r="593">
      <c r="A593" s="13" t="s">
        <v>1391</v>
      </c>
    </row>
    <row r="594">
      <c r="A594" s="13" t="s">
        <v>949</v>
      </c>
    </row>
    <row r="595">
      <c r="A595" s="13" t="s">
        <v>1392</v>
      </c>
    </row>
    <row r="596">
      <c r="A596" s="13" t="s">
        <v>1393</v>
      </c>
    </row>
    <row r="597">
      <c r="A597" s="13" t="s">
        <v>1394</v>
      </c>
    </row>
    <row r="598">
      <c r="A598" s="13" t="s">
        <v>1395</v>
      </c>
    </row>
    <row r="599">
      <c r="A599" s="13" t="s">
        <v>1396</v>
      </c>
    </row>
    <row r="600">
      <c r="A600" s="13" t="s">
        <v>1341</v>
      </c>
    </row>
    <row r="601">
      <c r="A601" s="13" t="s">
        <v>1397</v>
      </c>
    </row>
    <row r="602">
      <c r="A602" s="13" t="s">
        <v>1398</v>
      </c>
    </row>
    <row r="603">
      <c r="A603" s="13" t="s">
        <v>1399</v>
      </c>
    </row>
    <row r="604">
      <c r="A604" s="13" t="s">
        <v>1400</v>
      </c>
    </row>
    <row r="605">
      <c r="A605" s="13" t="s">
        <v>1401</v>
      </c>
    </row>
    <row r="606">
      <c r="A606" s="13" t="s">
        <v>1402</v>
      </c>
    </row>
    <row r="607">
      <c r="A607" s="13" t="s">
        <v>1403</v>
      </c>
    </row>
    <row r="608">
      <c r="A608" s="13" t="s">
        <v>961</v>
      </c>
    </row>
    <row r="609">
      <c r="A609" s="13" t="s">
        <v>931</v>
      </c>
    </row>
    <row r="610">
      <c r="A610" s="13" t="s">
        <v>1404</v>
      </c>
    </row>
    <row r="611">
      <c r="A611" s="13" t="s">
        <v>1405</v>
      </c>
    </row>
    <row r="612">
      <c r="A612" s="13" t="s">
        <v>984</v>
      </c>
    </row>
    <row r="613">
      <c r="A613" s="13" t="s">
        <v>1406</v>
      </c>
    </row>
    <row r="614">
      <c r="A614" s="13" t="s">
        <v>1407</v>
      </c>
    </row>
    <row r="615">
      <c r="A615" s="13" t="s">
        <v>933</v>
      </c>
    </row>
    <row r="616">
      <c r="A616" s="13" t="s">
        <v>1408</v>
      </c>
    </row>
    <row r="617">
      <c r="A617" s="13" t="s">
        <v>1409</v>
      </c>
    </row>
    <row r="618">
      <c r="A618" s="13" t="s">
        <v>1410</v>
      </c>
    </row>
    <row r="619">
      <c r="A619" s="13" t="s">
        <v>1411</v>
      </c>
    </row>
    <row r="620">
      <c r="A620" s="13" t="s">
        <v>1412</v>
      </c>
    </row>
    <row r="621">
      <c r="A621" s="13" t="s">
        <v>1413</v>
      </c>
    </row>
    <row r="622">
      <c r="A622" s="13" t="s">
        <v>1414</v>
      </c>
    </row>
    <row r="623">
      <c r="A623" s="13" t="s">
        <v>1415</v>
      </c>
    </row>
    <row r="624">
      <c r="A624" s="13" t="s">
        <v>1416</v>
      </c>
    </row>
    <row r="625">
      <c r="A625" s="13" t="s">
        <v>1417</v>
      </c>
    </row>
    <row r="626">
      <c r="A626" s="13" t="s">
        <v>1418</v>
      </c>
    </row>
    <row r="627">
      <c r="A627" s="13" t="s">
        <v>1419</v>
      </c>
    </row>
    <row r="628">
      <c r="A628" s="13" t="s">
        <v>1420</v>
      </c>
    </row>
    <row r="629">
      <c r="A629" s="13" t="s">
        <v>1421</v>
      </c>
    </row>
    <row r="630">
      <c r="A630" s="13" t="s">
        <v>1422</v>
      </c>
    </row>
    <row r="631">
      <c r="A631" s="13" t="s">
        <v>1423</v>
      </c>
    </row>
    <row r="632">
      <c r="A632" s="13" t="s">
        <v>1424</v>
      </c>
    </row>
    <row r="633">
      <c r="A633" s="13" t="s">
        <v>1425</v>
      </c>
    </row>
    <row r="634">
      <c r="A634" s="13" t="s">
        <v>1426</v>
      </c>
    </row>
    <row r="635">
      <c r="A635" s="13" t="s">
        <v>1427</v>
      </c>
    </row>
    <row r="636">
      <c r="A636" s="13" t="s">
        <v>1428</v>
      </c>
    </row>
    <row r="637">
      <c r="A637" s="13" t="s">
        <v>1429</v>
      </c>
    </row>
    <row r="638">
      <c r="A638" s="13" t="s">
        <v>1430</v>
      </c>
    </row>
    <row r="639">
      <c r="A639" s="13" t="s">
        <v>1431</v>
      </c>
    </row>
    <row r="640">
      <c r="A640" s="13" t="s">
        <v>1377</v>
      </c>
    </row>
    <row r="641">
      <c r="A641" s="13" t="s">
        <v>1080</v>
      </c>
    </row>
    <row r="642">
      <c r="A642" s="13" t="s">
        <v>1432</v>
      </c>
    </row>
    <row r="643">
      <c r="A643" s="13" t="s">
        <v>1433</v>
      </c>
    </row>
    <row r="644">
      <c r="A644" s="13" t="s">
        <v>1434</v>
      </c>
    </row>
    <row r="645">
      <c r="A645" s="13" t="s">
        <v>1435</v>
      </c>
    </row>
    <row r="646">
      <c r="A646" s="13" t="s">
        <v>1436</v>
      </c>
    </row>
    <row r="647">
      <c r="A647" s="13" t="s">
        <v>1311</v>
      </c>
    </row>
    <row r="648">
      <c r="A648" s="13" t="s">
        <v>1437</v>
      </c>
    </row>
    <row r="649">
      <c r="A649" s="13" t="s">
        <v>1438</v>
      </c>
    </row>
    <row r="650">
      <c r="A650" s="13" t="s">
        <v>1021</v>
      </c>
    </row>
    <row r="651">
      <c r="A651" s="13" t="s">
        <v>953</v>
      </c>
    </row>
    <row r="652">
      <c r="A652" s="13" t="s">
        <v>1439</v>
      </c>
    </row>
    <row r="653">
      <c r="A653" s="13" t="s">
        <v>1440</v>
      </c>
    </row>
    <row r="654">
      <c r="A654" s="13" t="s">
        <v>1441</v>
      </c>
    </row>
    <row r="655">
      <c r="A655" s="13" t="s">
        <v>1442</v>
      </c>
    </row>
    <row r="656">
      <c r="A656" s="13" t="s">
        <v>1164</v>
      </c>
    </row>
    <row r="657">
      <c r="A657" s="13" t="s">
        <v>1443</v>
      </c>
    </row>
    <row r="658">
      <c r="A658" s="13" t="s">
        <v>1444</v>
      </c>
    </row>
    <row r="659">
      <c r="A659" s="13" t="s">
        <v>1445</v>
      </c>
    </row>
    <row r="660">
      <c r="A660" s="13" t="s">
        <v>1446</v>
      </c>
    </row>
    <row r="661">
      <c r="A661" s="13" t="s">
        <v>1447</v>
      </c>
    </row>
    <row r="662">
      <c r="A662" s="13" t="s">
        <v>1448</v>
      </c>
    </row>
    <row r="663">
      <c r="A663" s="13" t="s">
        <v>937</v>
      </c>
    </row>
    <row r="664">
      <c r="A664" s="13" t="s">
        <v>1449</v>
      </c>
    </row>
    <row r="665">
      <c r="A665" s="13" t="s">
        <v>1450</v>
      </c>
    </row>
    <row r="666">
      <c r="A666" s="13" t="s">
        <v>1451</v>
      </c>
    </row>
    <row r="667">
      <c r="A667" s="13" t="s">
        <v>1452</v>
      </c>
    </row>
    <row r="668">
      <c r="A668" s="13" t="s">
        <v>1453</v>
      </c>
    </row>
    <row r="669">
      <c r="A669" s="13" t="s">
        <v>1454</v>
      </c>
    </row>
    <row r="670">
      <c r="A670" s="13" t="s">
        <v>1455</v>
      </c>
    </row>
    <row r="671">
      <c r="A671" s="13" t="s">
        <v>1456</v>
      </c>
    </row>
    <row r="672">
      <c r="A672" s="13" t="s">
        <v>1457</v>
      </c>
    </row>
    <row r="673">
      <c r="A673" s="13" t="s">
        <v>1458</v>
      </c>
    </row>
    <row r="674">
      <c r="A674" s="13" t="s">
        <v>1459</v>
      </c>
    </row>
    <row r="675">
      <c r="A675" s="13" t="s">
        <v>1460</v>
      </c>
    </row>
    <row r="676">
      <c r="A676" s="13" t="s">
        <v>1461</v>
      </c>
    </row>
    <row r="677">
      <c r="A677" s="13" t="s">
        <v>1462</v>
      </c>
    </row>
    <row r="678">
      <c r="A678" s="13" t="s">
        <v>925</v>
      </c>
    </row>
    <row r="679">
      <c r="A679" s="13" t="s">
        <v>900</v>
      </c>
    </row>
    <row r="680">
      <c r="A680" s="13" t="s">
        <v>1463</v>
      </c>
    </row>
    <row r="681">
      <c r="A681" s="13" t="s">
        <v>1464</v>
      </c>
    </row>
    <row r="682">
      <c r="A682" s="13" t="s">
        <v>1465</v>
      </c>
    </row>
    <row r="683">
      <c r="A683" s="13" t="s">
        <v>1118</v>
      </c>
    </row>
    <row r="684">
      <c r="A684" s="13" t="s">
        <v>1466</v>
      </c>
    </row>
    <row r="685">
      <c r="A685" s="13" t="s">
        <v>1467</v>
      </c>
    </row>
    <row r="686">
      <c r="A686" s="13" t="s">
        <v>1468</v>
      </c>
    </row>
    <row r="687">
      <c r="A687" s="13" t="s">
        <v>1469</v>
      </c>
    </row>
    <row r="688">
      <c r="A688" s="13" t="s">
        <v>1470</v>
      </c>
    </row>
    <row r="689">
      <c r="A689" s="13" t="s">
        <v>1471</v>
      </c>
    </row>
    <row r="690">
      <c r="A690" s="13" t="s">
        <v>1472</v>
      </c>
    </row>
    <row r="691">
      <c r="A691" s="13" t="s">
        <v>1076</v>
      </c>
    </row>
    <row r="692">
      <c r="A692" s="13" t="s">
        <v>1473</v>
      </c>
    </row>
    <row r="693">
      <c r="A693" s="13" t="s">
        <v>1474</v>
      </c>
    </row>
    <row r="694">
      <c r="A694" s="13" t="s">
        <v>1475</v>
      </c>
    </row>
    <row r="695">
      <c r="A695" s="13" t="s">
        <v>1476</v>
      </c>
    </row>
    <row r="696">
      <c r="A696" s="13" t="s">
        <v>1477</v>
      </c>
    </row>
    <row r="697">
      <c r="A697" s="13" t="s">
        <v>1478</v>
      </c>
    </row>
    <row r="698">
      <c r="A698" s="13" t="s">
        <v>1479</v>
      </c>
    </row>
    <row r="699">
      <c r="A699" s="13" t="s">
        <v>1480</v>
      </c>
    </row>
    <row r="700">
      <c r="A700" s="13" t="s">
        <v>1481</v>
      </c>
    </row>
    <row r="701">
      <c r="A701" s="13" t="s">
        <v>1482</v>
      </c>
    </row>
    <row r="702">
      <c r="A702" s="13" t="s">
        <v>1483</v>
      </c>
    </row>
    <row r="703">
      <c r="A703" s="13" t="s">
        <v>1484</v>
      </c>
    </row>
    <row r="704">
      <c r="A704" s="13" t="s">
        <v>1485</v>
      </c>
    </row>
    <row r="705">
      <c r="A705" s="13" t="s">
        <v>1486</v>
      </c>
    </row>
    <row r="706">
      <c r="A706" s="13" t="s">
        <v>1487</v>
      </c>
    </row>
    <row r="707">
      <c r="A707" s="13" t="s">
        <v>1488</v>
      </c>
    </row>
    <row r="708">
      <c r="A708" s="13" t="s">
        <v>1489</v>
      </c>
    </row>
    <row r="709">
      <c r="A709" s="13" t="s">
        <v>1490</v>
      </c>
    </row>
    <row r="710">
      <c r="A710" s="13" t="s">
        <v>1491</v>
      </c>
    </row>
    <row r="711">
      <c r="A711" s="13" t="s">
        <v>1047</v>
      </c>
    </row>
    <row r="712">
      <c r="A712" s="13" t="s">
        <v>1492</v>
      </c>
    </row>
    <row r="713">
      <c r="A713" s="13" t="s">
        <v>1493</v>
      </c>
    </row>
    <row r="714">
      <c r="A714" s="13" t="s">
        <v>1494</v>
      </c>
    </row>
    <row r="715">
      <c r="A715" s="13" t="s">
        <v>1495</v>
      </c>
    </row>
    <row r="716">
      <c r="A716" s="13" t="s">
        <v>1496</v>
      </c>
    </row>
    <row r="717">
      <c r="A717" s="13" t="s">
        <v>1497</v>
      </c>
    </row>
    <row r="718">
      <c r="A718" s="13" t="s">
        <v>1498</v>
      </c>
    </row>
    <row r="719">
      <c r="A719" s="13" t="s">
        <v>1499</v>
      </c>
    </row>
    <row r="720">
      <c r="A720" s="13" t="s">
        <v>1338</v>
      </c>
    </row>
    <row r="721">
      <c r="A721" s="13" t="s">
        <v>1500</v>
      </c>
    </row>
    <row r="722">
      <c r="A722" s="13" t="s">
        <v>1501</v>
      </c>
    </row>
    <row r="723">
      <c r="A723" s="13" t="s">
        <v>1502</v>
      </c>
    </row>
    <row r="724">
      <c r="A724" s="13" t="s">
        <v>1503</v>
      </c>
    </row>
    <row r="725">
      <c r="A725" s="13" t="s">
        <v>1504</v>
      </c>
    </row>
    <row r="726">
      <c r="A726" s="13" t="s">
        <v>1505</v>
      </c>
    </row>
    <row r="727">
      <c r="A727" s="13" t="s">
        <v>1506</v>
      </c>
    </row>
    <row r="728">
      <c r="A728" s="13" t="s">
        <v>1200</v>
      </c>
    </row>
    <row r="729">
      <c r="A729" s="13" t="s">
        <v>1076</v>
      </c>
    </row>
    <row r="730">
      <c r="A730" s="13" t="s">
        <v>1507</v>
      </c>
    </row>
    <row r="731">
      <c r="A731" s="13" t="s">
        <v>1508</v>
      </c>
    </row>
    <row r="732">
      <c r="A732" s="13" t="s">
        <v>1509</v>
      </c>
    </row>
    <row r="733">
      <c r="A733" s="13" t="s">
        <v>1510</v>
      </c>
    </row>
    <row r="734">
      <c r="A734" s="13" t="s">
        <v>1511</v>
      </c>
    </row>
    <row r="735">
      <c r="A735" s="13" t="s">
        <v>1512</v>
      </c>
    </row>
    <row r="736">
      <c r="A736" s="13" t="s">
        <v>1513</v>
      </c>
    </row>
    <row r="737">
      <c r="A737" s="13" t="s">
        <v>1514</v>
      </c>
    </row>
    <row r="738">
      <c r="A738" s="13" t="s">
        <v>1515</v>
      </c>
    </row>
    <row r="739">
      <c r="A739" s="13" t="s">
        <v>1516</v>
      </c>
    </row>
    <row r="740">
      <c r="A740" s="13" t="s">
        <v>1517</v>
      </c>
    </row>
    <row r="741">
      <c r="A741" s="13" t="s">
        <v>1518</v>
      </c>
    </row>
    <row r="742">
      <c r="A742" s="13" t="s">
        <v>1519</v>
      </c>
    </row>
    <row r="743">
      <c r="A743" s="13" t="s">
        <v>952</v>
      </c>
    </row>
    <row r="744">
      <c r="A744" s="13" t="s">
        <v>1520</v>
      </c>
    </row>
    <row r="745">
      <c r="A745" s="13" t="s">
        <v>1521</v>
      </c>
    </row>
    <row r="746">
      <c r="A746" s="13" t="s">
        <v>1417</v>
      </c>
    </row>
    <row r="747">
      <c r="A747" s="13" t="s">
        <v>1522</v>
      </c>
    </row>
    <row r="748">
      <c r="A748" s="13" t="s">
        <v>1516</v>
      </c>
    </row>
    <row r="749">
      <c r="A749" s="13" t="s">
        <v>1029</v>
      </c>
    </row>
    <row r="750">
      <c r="A750" s="13" t="s">
        <v>1523</v>
      </c>
    </row>
    <row r="751">
      <c r="A751" s="13" t="s">
        <v>1311</v>
      </c>
    </row>
    <row r="752">
      <c r="A752" s="13" t="s">
        <v>1476</v>
      </c>
    </row>
    <row r="753">
      <c r="A753" s="13" t="s">
        <v>1524</v>
      </c>
    </row>
    <row r="754">
      <c r="A754" s="13" t="s">
        <v>1525</v>
      </c>
    </row>
    <row r="755">
      <c r="A755" s="13" t="s">
        <v>1526</v>
      </c>
    </row>
    <row r="756">
      <c r="A756" s="13" t="s">
        <v>1527</v>
      </c>
    </row>
    <row r="757">
      <c r="A757" s="13" t="s">
        <v>1528</v>
      </c>
    </row>
    <row r="758">
      <c r="A758" s="13" t="s">
        <v>1529</v>
      </c>
    </row>
    <row r="759">
      <c r="A759" s="13" t="s">
        <v>1530</v>
      </c>
    </row>
    <row r="760">
      <c r="A760" s="13" t="s">
        <v>1531</v>
      </c>
    </row>
    <row r="761">
      <c r="A761" s="13" t="s">
        <v>1532</v>
      </c>
    </row>
    <row r="762">
      <c r="A762" s="13" t="s">
        <v>1533</v>
      </c>
    </row>
    <row r="763">
      <c r="A763" s="13" t="s">
        <v>1534</v>
      </c>
    </row>
    <row r="764">
      <c r="A764" s="13" t="s">
        <v>1073</v>
      </c>
    </row>
    <row r="765">
      <c r="A765" s="13" t="s">
        <v>1160</v>
      </c>
    </row>
    <row r="766">
      <c r="A766" s="13" t="s">
        <v>1062</v>
      </c>
    </row>
    <row r="767">
      <c r="A767" s="13" t="s">
        <v>1535</v>
      </c>
    </row>
    <row r="768">
      <c r="A768" s="13" t="s">
        <v>1016</v>
      </c>
    </row>
    <row r="769">
      <c r="A769" s="13" t="s">
        <v>1536</v>
      </c>
    </row>
    <row r="770">
      <c r="A770" s="13" t="s">
        <v>1537</v>
      </c>
    </row>
    <row r="771">
      <c r="A771" s="13" t="s">
        <v>1538</v>
      </c>
    </row>
    <row r="772">
      <c r="A772" s="13" t="s">
        <v>1539</v>
      </c>
    </row>
    <row r="773">
      <c r="A773" s="13" t="s">
        <v>1540</v>
      </c>
    </row>
    <row r="774">
      <c r="A774" s="13" t="s">
        <v>1541</v>
      </c>
    </row>
    <row r="775">
      <c r="A775" s="13" t="s">
        <v>1542</v>
      </c>
    </row>
    <row r="776">
      <c r="A776" s="13" t="s">
        <v>1543</v>
      </c>
    </row>
    <row r="777">
      <c r="A777" s="13" t="s">
        <v>1544</v>
      </c>
    </row>
    <row r="778">
      <c r="A778" s="13" t="s">
        <v>1545</v>
      </c>
    </row>
    <row r="779">
      <c r="A779" s="13" t="s">
        <v>1546</v>
      </c>
    </row>
    <row r="780">
      <c r="A780" s="13" t="s">
        <v>1547</v>
      </c>
    </row>
    <row r="781">
      <c r="A781" s="13" t="s">
        <v>1548</v>
      </c>
    </row>
    <row r="782">
      <c r="A782" s="13" t="s">
        <v>1549</v>
      </c>
    </row>
    <row r="783">
      <c r="A783" s="13" t="s">
        <v>1011</v>
      </c>
    </row>
    <row r="784">
      <c r="A784" s="13" t="s">
        <v>1550</v>
      </c>
    </row>
    <row r="785">
      <c r="A785" s="13" t="s">
        <v>1017</v>
      </c>
    </row>
    <row r="786">
      <c r="A786" s="13" t="s">
        <v>1551</v>
      </c>
    </row>
    <row r="787">
      <c r="A787" s="13" t="s">
        <v>1552</v>
      </c>
    </row>
    <row r="788">
      <c r="A788" s="13" t="s">
        <v>1553</v>
      </c>
    </row>
    <row r="789">
      <c r="A789" s="13" t="s">
        <v>1554</v>
      </c>
    </row>
    <row r="790">
      <c r="A790" s="13" t="s">
        <v>1555</v>
      </c>
    </row>
    <row r="791">
      <c r="A791" s="13" t="s">
        <v>1556</v>
      </c>
    </row>
    <row r="792">
      <c r="A792" s="13" t="s">
        <v>1557</v>
      </c>
    </row>
    <row r="793">
      <c r="A793" s="13" t="s">
        <v>1558</v>
      </c>
    </row>
    <row r="794">
      <c r="A794" s="13" t="s">
        <v>1559</v>
      </c>
    </row>
    <row r="795">
      <c r="A795" s="13" t="s">
        <v>1158</v>
      </c>
    </row>
    <row r="796">
      <c r="A796" s="13" t="s">
        <v>1136</v>
      </c>
    </row>
    <row r="797">
      <c r="A797" s="13" t="s">
        <v>1560</v>
      </c>
    </row>
    <row r="798">
      <c r="A798" s="13" t="s">
        <v>1561</v>
      </c>
    </row>
    <row r="799">
      <c r="A799" s="13" t="s">
        <v>1562</v>
      </c>
    </row>
    <row r="800">
      <c r="A800" s="13" t="s">
        <v>1563</v>
      </c>
    </row>
    <row r="801">
      <c r="A801" s="13" t="s">
        <v>1564</v>
      </c>
    </row>
    <row r="802">
      <c r="A802" s="13" t="s">
        <v>1565</v>
      </c>
    </row>
    <row r="803">
      <c r="A803" s="13" t="s">
        <v>1566</v>
      </c>
    </row>
    <row r="804">
      <c r="A804" s="13" t="s">
        <v>1567</v>
      </c>
    </row>
    <row r="805">
      <c r="A805" s="13" t="s">
        <v>1568</v>
      </c>
    </row>
    <row r="806">
      <c r="A806" s="13" t="s">
        <v>1569</v>
      </c>
    </row>
    <row r="807">
      <c r="A807" s="13" t="s">
        <v>1570</v>
      </c>
    </row>
    <row r="808">
      <c r="A808" s="13" t="s">
        <v>1571</v>
      </c>
    </row>
    <row r="809">
      <c r="A809" s="13" t="s">
        <v>1572</v>
      </c>
    </row>
    <row r="810">
      <c r="A810" s="13" t="s">
        <v>1570</v>
      </c>
    </row>
    <row r="811">
      <c r="A811" s="13" t="s">
        <v>1573</v>
      </c>
    </row>
    <row r="812">
      <c r="A812" s="13" t="s">
        <v>1574</v>
      </c>
    </row>
    <row r="813">
      <c r="A813" s="13" t="s">
        <v>1575</v>
      </c>
    </row>
    <row r="814">
      <c r="A814" s="13" t="s">
        <v>1576</v>
      </c>
    </row>
    <row r="815">
      <c r="A815" s="13" t="s">
        <v>1577</v>
      </c>
    </row>
    <row r="816">
      <c r="A816" s="13" t="s">
        <v>1578</v>
      </c>
    </row>
    <row r="817">
      <c r="A817" s="13" t="s">
        <v>1579</v>
      </c>
    </row>
    <row r="818">
      <c r="A818" s="13" t="s">
        <v>978</v>
      </c>
    </row>
    <row r="819">
      <c r="A819" s="13" t="s">
        <v>1580</v>
      </c>
    </row>
    <row r="820">
      <c r="A820" s="13" t="s">
        <v>1248</v>
      </c>
    </row>
    <row r="821">
      <c r="A821" s="13" t="s">
        <v>1581</v>
      </c>
    </row>
    <row r="822">
      <c r="A822" s="13" t="s">
        <v>1582</v>
      </c>
    </row>
    <row r="823">
      <c r="A823" s="13" t="s">
        <v>1583</v>
      </c>
    </row>
    <row r="824">
      <c r="A824" s="13" t="s">
        <v>1584</v>
      </c>
    </row>
    <row r="825">
      <c r="A825" s="13" t="s">
        <v>1585</v>
      </c>
    </row>
    <row r="826">
      <c r="A826" s="13" t="s">
        <v>1586</v>
      </c>
    </row>
    <row r="827">
      <c r="A827" s="13" t="s">
        <v>1587</v>
      </c>
    </row>
    <row r="828">
      <c r="A828" s="13" t="s">
        <v>937</v>
      </c>
    </row>
    <row r="829">
      <c r="A829" s="13" t="s">
        <v>935</v>
      </c>
    </row>
    <row r="830">
      <c r="A830" s="13" t="s">
        <v>978</v>
      </c>
    </row>
    <row r="831">
      <c r="A831" s="13" t="s">
        <v>1588</v>
      </c>
    </row>
    <row r="832">
      <c r="A832" s="13" t="s">
        <v>1248</v>
      </c>
    </row>
    <row r="833">
      <c r="A833" s="13" t="s">
        <v>1589</v>
      </c>
    </row>
    <row r="834">
      <c r="A834" s="13" t="s">
        <v>1590</v>
      </c>
    </row>
    <row r="835">
      <c r="A835" s="13" t="s">
        <v>1591</v>
      </c>
    </row>
    <row r="836">
      <c r="A836" s="13" t="s">
        <v>1592</v>
      </c>
    </row>
    <row r="837">
      <c r="A837" s="13" t="s">
        <v>1593</v>
      </c>
    </row>
    <row r="838">
      <c r="A838" s="13" t="s">
        <v>1382</v>
      </c>
    </row>
    <row r="839">
      <c r="A839" s="13" t="s">
        <v>1240</v>
      </c>
    </row>
    <row r="840">
      <c r="A840" s="13" t="s">
        <v>1594</v>
      </c>
    </row>
    <row r="841">
      <c r="A841" s="13" t="s">
        <v>1595</v>
      </c>
    </row>
    <row r="842">
      <c r="A842" s="13" t="s">
        <v>1596</v>
      </c>
    </row>
    <row r="843">
      <c r="A843" s="13" t="s">
        <v>1243</v>
      </c>
    </row>
    <row r="844">
      <c r="A844" s="13" t="s">
        <v>1597</v>
      </c>
    </row>
    <row r="845">
      <c r="A845" s="13" t="s">
        <v>1598</v>
      </c>
    </row>
    <row r="846">
      <c r="A846" s="13" t="s">
        <v>933</v>
      </c>
    </row>
    <row r="847">
      <c r="A847" s="13" t="s">
        <v>931</v>
      </c>
    </row>
    <row r="848">
      <c r="A848" s="13" t="s">
        <v>1599</v>
      </c>
    </row>
    <row r="849">
      <c r="A849" s="13" t="s">
        <v>1600</v>
      </c>
    </row>
    <row r="850">
      <c r="A850" s="13" t="s">
        <v>1601</v>
      </c>
    </row>
    <row r="851">
      <c r="A851" s="13" t="s">
        <v>1602</v>
      </c>
    </row>
    <row r="852">
      <c r="A852" s="13" t="s">
        <v>1603</v>
      </c>
    </row>
    <row r="853">
      <c r="A853" s="13" t="s">
        <v>1604</v>
      </c>
    </row>
    <row r="854">
      <c r="A854" s="13" t="s">
        <v>1605</v>
      </c>
    </row>
    <row r="855">
      <c r="A855" s="13" t="s">
        <v>1606</v>
      </c>
    </row>
    <row r="856">
      <c r="A856" s="13" t="s">
        <v>1607</v>
      </c>
    </row>
    <row r="857">
      <c r="A857" s="13" t="s">
        <v>927</v>
      </c>
    </row>
    <row r="858">
      <c r="A858" s="13" t="s">
        <v>1608</v>
      </c>
    </row>
    <row r="859">
      <c r="A859" s="13" t="s">
        <v>1609</v>
      </c>
    </row>
    <row r="860">
      <c r="A860" s="13" t="s">
        <v>1610</v>
      </c>
    </row>
    <row r="861">
      <c r="A861" s="13" t="s">
        <v>1611</v>
      </c>
    </row>
    <row r="862">
      <c r="A862" s="13" t="s">
        <v>1612</v>
      </c>
    </row>
    <row r="863">
      <c r="A863" s="13" t="s">
        <v>971</v>
      </c>
    </row>
    <row r="864">
      <c r="A864" s="13" t="s">
        <v>1613</v>
      </c>
    </row>
    <row r="865">
      <c r="A865" s="13" t="s">
        <v>1614</v>
      </c>
    </row>
    <row r="866">
      <c r="A866" s="13" t="s">
        <v>1615</v>
      </c>
    </row>
    <row r="867">
      <c r="A867" s="13" t="s">
        <v>933</v>
      </c>
    </row>
    <row r="868">
      <c r="A868" s="13" t="s">
        <v>931</v>
      </c>
    </row>
    <row r="869">
      <c r="A869" s="13" t="s">
        <v>1616</v>
      </c>
    </row>
    <row r="870">
      <c r="A870" s="13" t="s">
        <v>1617</v>
      </c>
    </row>
    <row r="871">
      <c r="A871" s="13" t="s">
        <v>903</v>
      </c>
    </row>
    <row r="872">
      <c r="A872" s="13" t="s">
        <v>1618</v>
      </c>
    </row>
    <row r="873">
      <c r="A873" s="13" t="s">
        <v>1619</v>
      </c>
    </row>
    <row r="874">
      <c r="A874" s="13" t="s">
        <v>1620</v>
      </c>
    </row>
    <row r="875">
      <c r="A875" s="13" t="s">
        <v>1621</v>
      </c>
    </row>
    <row r="876">
      <c r="A876" s="13" t="s">
        <v>1622</v>
      </c>
    </row>
    <row r="877">
      <c r="A877" s="13" t="s">
        <v>1609</v>
      </c>
    </row>
    <row r="878">
      <c r="A878" s="13" t="s">
        <v>1623</v>
      </c>
    </row>
    <row r="879">
      <c r="A879" s="13" t="s">
        <v>1624</v>
      </c>
    </row>
    <row r="880">
      <c r="A880" s="13" t="s">
        <v>1625</v>
      </c>
    </row>
    <row r="881">
      <c r="A881" s="13" t="s">
        <v>1626</v>
      </c>
    </row>
    <row r="882">
      <c r="A882" s="13" t="s">
        <v>1627</v>
      </c>
    </row>
    <row r="883">
      <c r="A883" s="13" t="s">
        <v>1628</v>
      </c>
    </row>
    <row r="884">
      <c r="A884" s="13" t="s">
        <v>1629</v>
      </c>
    </row>
    <row r="885">
      <c r="A885" s="13" t="s">
        <v>1630</v>
      </c>
    </row>
    <row r="886">
      <c r="A886" s="13" t="s">
        <v>1631</v>
      </c>
    </row>
    <row r="887">
      <c r="A887" s="13" t="s">
        <v>1632</v>
      </c>
    </row>
    <row r="888">
      <c r="A888" s="13" t="s">
        <v>1633</v>
      </c>
    </row>
    <row r="889">
      <c r="A889" s="13" t="s">
        <v>1634</v>
      </c>
    </row>
    <row r="890">
      <c r="A890" s="13" t="s">
        <v>902</v>
      </c>
    </row>
    <row r="891">
      <c r="A891" s="13" t="s">
        <v>1635</v>
      </c>
    </row>
    <row r="892">
      <c r="A892" s="13" t="s">
        <v>971</v>
      </c>
    </row>
    <row r="893">
      <c r="A893" s="13" t="s">
        <v>1636</v>
      </c>
    </row>
    <row r="894">
      <c r="A894" s="13" t="s">
        <v>1637</v>
      </c>
    </row>
    <row r="895">
      <c r="A895" s="13" t="s">
        <v>903</v>
      </c>
    </row>
    <row r="896">
      <c r="A896" s="13" t="s">
        <v>900</v>
      </c>
    </row>
    <row r="897">
      <c r="A897" s="13" t="s">
        <v>1638</v>
      </c>
    </row>
    <row r="898">
      <c r="A898" s="13" t="s">
        <v>1639</v>
      </c>
    </row>
    <row r="899">
      <c r="A899" s="13" t="s">
        <v>1640</v>
      </c>
    </row>
    <row r="900">
      <c r="A900" s="13" t="s">
        <v>1080</v>
      </c>
    </row>
    <row r="901">
      <c r="A901" s="13" t="s">
        <v>1641</v>
      </c>
    </row>
    <row r="902">
      <c r="A902" s="13" t="s">
        <v>1642</v>
      </c>
    </row>
    <row r="903">
      <c r="A903" s="13" t="s">
        <v>1643</v>
      </c>
    </row>
    <row r="904">
      <c r="A904" s="13" t="s">
        <v>1644</v>
      </c>
    </row>
    <row r="905">
      <c r="A905" s="13" t="s">
        <v>1645</v>
      </c>
    </row>
    <row r="906">
      <c r="A906" s="13" t="s">
        <v>1646</v>
      </c>
    </row>
    <row r="907">
      <c r="A907" s="13" t="s">
        <v>1647</v>
      </c>
    </row>
    <row r="908">
      <c r="A908" s="13" t="s">
        <v>1587</v>
      </c>
    </row>
    <row r="909">
      <c r="A909" s="13" t="s">
        <v>1648</v>
      </c>
    </row>
    <row r="910">
      <c r="A910" s="13" t="s">
        <v>1649</v>
      </c>
    </row>
    <row r="911">
      <c r="A911" s="13" t="s">
        <v>1650</v>
      </c>
    </row>
    <row r="912">
      <c r="A912" s="13" t="s">
        <v>1651</v>
      </c>
    </row>
    <row r="913">
      <c r="A913" s="13" t="s">
        <v>931</v>
      </c>
    </row>
    <row r="914">
      <c r="A914" s="13" t="s">
        <v>1652</v>
      </c>
    </row>
    <row r="915">
      <c r="A915" s="13" t="s">
        <v>1653</v>
      </c>
    </row>
    <row r="916">
      <c r="A916" s="13" t="s">
        <v>933</v>
      </c>
    </row>
    <row r="917">
      <c r="A917" s="13" t="s">
        <v>1654</v>
      </c>
    </row>
    <row r="918">
      <c r="A918" s="13" t="s">
        <v>903</v>
      </c>
    </row>
    <row r="919">
      <c r="A919" s="13" t="s">
        <v>935</v>
      </c>
    </row>
    <row r="920">
      <c r="A920" s="13" t="s">
        <v>1338</v>
      </c>
    </row>
    <row r="921">
      <c r="A921" s="13" t="s">
        <v>930</v>
      </c>
    </row>
    <row r="922">
      <c r="A922" s="13" t="s">
        <v>1516</v>
      </c>
    </row>
    <row r="923">
      <c r="A923" s="13" t="s">
        <v>1655</v>
      </c>
    </row>
    <row r="924">
      <c r="A924" s="13" t="s">
        <v>1656</v>
      </c>
    </row>
    <row r="925">
      <c r="A925" s="13" t="s">
        <v>1657</v>
      </c>
    </row>
    <row r="926">
      <c r="A926" s="13" t="s">
        <v>1021</v>
      </c>
    </row>
    <row r="927">
      <c r="A927" s="13" t="s">
        <v>1658</v>
      </c>
    </row>
    <row r="928">
      <c r="A928" s="13" t="s">
        <v>943</v>
      </c>
    </row>
    <row r="929">
      <c r="A929" s="13" t="s">
        <v>1353</v>
      </c>
    </row>
    <row r="930">
      <c r="A930" s="13" t="s">
        <v>1659</v>
      </c>
    </row>
    <row r="931">
      <c r="A931" s="13" t="s">
        <v>1660</v>
      </c>
    </row>
    <row r="932">
      <c r="A932" s="13" t="s">
        <v>1661</v>
      </c>
    </row>
    <row r="933">
      <c r="A933" s="13" t="s">
        <v>1662</v>
      </c>
    </row>
    <row r="934">
      <c r="A934" s="13" t="s">
        <v>1663</v>
      </c>
    </row>
    <row r="935">
      <c r="A935" s="13" t="s">
        <v>1516</v>
      </c>
    </row>
    <row r="936">
      <c r="A936" s="13" t="s">
        <v>1204</v>
      </c>
    </row>
    <row r="937">
      <c r="A937" s="13" t="s">
        <v>930</v>
      </c>
    </row>
    <row r="938">
      <c r="A938" s="13" t="s">
        <v>1664</v>
      </c>
    </row>
    <row r="939">
      <c r="A939" s="13" t="s">
        <v>1656</v>
      </c>
    </row>
    <row r="940">
      <c r="A940" s="13" t="s">
        <v>971</v>
      </c>
    </row>
    <row r="941">
      <c r="A941" s="13" t="s">
        <v>1665</v>
      </c>
    </row>
    <row r="942">
      <c r="A942" s="13" t="s">
        <v>1666</v>
      </c>
    </row>
    <row r="943">
      <c r="A943" s="13" t="s">
        <v>978</v>
      </c>
    </row>
    <row r="944">
      <c r="A944" s="13" t="s">
        <v>1667</v>
      </c>
    </row>
    <row r="945">
      <c r="A945" s="13" t="s">
        <v>1668</v>
      </c>
    </row>
    <row r="946">
      <c r="A946" s="13" t="s">
        <v>1240</v>
      </c>
    </row>
    <row r="947">
      <c r="A947" s="13" t="s">
        <v>977</v>
      </c>
    </row>
    <row r="948">
      <c r="A948" s="13" t="s">
        <v>933</v>
      </c>
    </row>
    <row r="949">
      <c r="A949" s="13" t="s">
        <v>1669</v>
      </c>
    </row>
    <row r="950">
      <c r="A950" s="13" t="s">
        <v>1670</v>
      </c>
    </row>
    <row r="951">
      <c r="A951" s="13" t="s">
        <v>1671</v>
      </c>
    </row>
    <row r="952">
      <c r="A952" s="13" t="s">
        <v>1672</v>
      </c>
    </row>
    <row r="953">
      <c r="A953" s="13" t="s">
        <v>1673</v>
      </c>
    </row>
    <row r="954">
      <c r="A954" s="13" t="s">
        <v>1109</v>
      </c>
    </row>
    <row r="955">
      <c r="A955" s="13" t="s">
        <v>1354</v>
      </c>
    </row>
    <row r="956">
      <c r="A956" s="13" t="s">
        <v>1635</v>
      </c>
    </row>
    <row r="957">
      <c r="A957" s="13" t="s">
        <v>1674</v>
      </c>
    </row>
    <row r="958">
      <c r="A958" s="13" t="s">
        <v>958</v>
      </c>
    </row>
    <row r="959">
      <c r="A959" s="13" t="s">
        <v>959</v>
      </c>
    </row>
    <row r="960">
      <c r="A960" s="13" t="s">
        <v>1397</v>
      </c>
    </row>
    <row r="961">
      <c r="A961" s="13" t="s">
        <v>903</v>
      </c>
    </row>
    <row r="962">
      <c r="A962" s="13" t="s">
        <v>1578</v>
      </c>
    </row>
    <row r="963">
      <c r="A963" s="13" t="s">
        <v>1675</v>
      </c>
    </row>
    <row r="964">
      <c r="A964" s="13" t="s">
        <v>930</v>
      </c>
    </row>
    <row r="965">
      <c r="A965" s="13" t="s">
        <v>904</v>
      </c>
    </row>
    <row r="966">
      <c r="A966" s="13" t="s">
        <v>902</v>
      </c>
    </row>
    <row r="967">
      <c r="A967" s="13" t="s">
        <v>1676</v>
      </c>
    </row>
    <row r="968">
      <c r="A968" s="13" t="s">
        <v>1677</v>
      </c>
    </row>
    <row r="969">
      <c r="A969" s="13" t="s">
        <v>1678</v>
      </c>
    </row>
    <row r="970">
      <c r="A970" s="13" t="s">
        <v>1338</v>
      </c>
    </row>
    <row r="971">
      <c r="A971" s="13" t="s">
        <v>986</v>
      </c>
    </row>
    <row r="972">
      <c r="A972" s="13" t="s">
        <v>1377</v>
      </c>
    </row>
    <row r="973">
      <c r="A973" s="13" t="s">
        <v>1679</v>
      </c>
    </row>
    <row r="974">
      <c r="A974" s="13" t="s">
        <v>1680</v>
      </c>
    </row>
    <row r="975">
      <c r="A975" s="13" t="s">
        <v>942</v>
      </c>
    </row>
    <row r="976">
      <c r="A976" s="13" t="s">
        <v>1080</v>
      </c>
    </row>
    <row r="977">
      <c r="A977" s="13" t="s">
        <v>1681</v>
      </c>
    </row>
    <row r="978">
      <c r="A978" s="13" t="s">
        <v>1243</v>
      </c>
    </row>
    <row r="979">
      <c r="A979" s="13" t="s">
        <v>1682</v>
      </c>
    </row>
    <row r="980">
      <c r="A980" s="13" t="s">
        <v>927</v>
      </c>
    </row>
    <row r="981">
      <c r="A981" s="13" t="s">
        <v>1683</v>
      </c>
    </row>
    <row r="982">
      <c r="A982" s="13" t="s">
        <v>1684</v>
      </c>
    </row>
    <row r="983">
      <c r="A983" s="13" t="s">
        <v>1685</v>
      </c>
    </row>
    <row r="984">
      <c r="A984" s="13" t="s">
        <v>1686</v>
      </c>
    </row>
    <row r="985">
      <c r="A985" s="13" t="s">
        <v>1075</v>
      </c>
    </row>
    <row r="986">
      <c r="A986" s="13" t="s">
        <v>1687</v>
      </c>
    </row>
    <row r="987">
      <c r="A987" s="13" t="s">
        <v>1163</v>
      </c>
    </row>
    <row r="988">
      <c r="A988" s="13" t="s">
        <v>949</v>
      </c>
    </row>
    <row r="989">
      <c r="A989" s="13" t="s">
        <v>1688</v>
      </c>
    </row>
    <row r="990">
      <c r="A990" s="13" t="s">
        <v>1689</v>
      </c>
    </row>
    <row r="991">
      <c r="A991" s="13" t="s">
        <v>1690</v>
      </c>
    </row>
    <row r="992">
      <c r="A992" s="13" t="s">
        <v>1691</v>
      </c>
    </row>
    <row r="993">
      <c r="A993" s="13" t="s">
        <v>1692</v>
      </c>
    </row>
    <row r="994">
      <c r="A994" s="13" t="s">
        <v>1693</v>
      </c>
    </row>
    <row r="995">
      <c r="A995" s="13" t="s">
        <v>1694</v>
      </c>
    </row>
    <row r="996">
      <c r="A996" s="13" t="s">
        <v>1029</v>
      </c>
    </row>
    <row r="997">
      <c r="A997" s="13" t="s">
        <v>1021</v>
      </c>
    </row>
    <row r="998">
      <c r="A998" s="13" t="s">
        <v>1695</v>
      </c>
    </row>
    <row r="999">
      <c r="A999" s="13" t="s">
        <v>1696</v>
      </c>
    </row>
    <row r="1000">
      <c r="A1000" s="13" t="s">
        <v>1697</v>
      </c>
    </row>
    <row r="1001">
      <c r="A1001" s="13" t="s">
        <v>1698</v>
      </c>
    </row>
    <row r="1002">
      <c r="A1002" s="13" t="s">
        <v>1699</v>
      </c>
    </row>
    <row r="1003">
      <c r="A1003" s="13" t="s">
        <v>1700</v>
      </c>
    </row>
    <row r="1004">
      <c r="A1004" s="13" t="s">
        <v>1701</v>
      </c>
    </row>
    <row r="1005">
      <c r="A1005" s="13" t="s">
        <v>1702</v>
      </c>
    </row>
    <row r="1006">
      <c r="A1006" s="13" t="s">
        <v>1703</v>
      </c>
    </row>
    <row r="1007">
      <c r="A1007" s="13" t="s">
        <v>1243</v>
      </c>
    </row>
    <row r="1008">
      <c r="A1008" s="13" t="s">
        <v>1163</v>
      </c>
    </row>
    <row r="1009">
      <c r="A1009" s="13" t="s">
        <v>1704</v>
      </c>
    </row>
    <row r="1010">
      <c r="A1010" s="13" t="s">
        <v>1705</v>
      </c>
    </row>
    <row r="1011">
      <c r="A1011" s="13" t="s">
        <v>1706</v>
      </c>
    </row>
    <row r="1012">
      <c r="A1012" s="13" t="s">
        <v>1707</v>
      </c>
    </row>
    <row r="1013">
      <c r="A1013" s="13" t="s">
        <v>1708</v>
      </c>
    </row>
    <row r="1014">
      <c r="A1014" s="13" t="s">
        <v>1709</v>
      </c>
    </row>
    <row r="1015">
      <c r="A1015" s="13" t="s">
        <v>1710</v>
      </c>
    </row>
    <row r="1016">
      <c r="A1016" s="13" t="s">
        <v>1021</v>
      </c>
    </row>
    <row r="1017">
      <c r="A1017" s="13" t="s">
        <v>1711</v>
      </c>
    </row>
    <row r="1018">
      <c r="A1018" s="13" t="s">
        <v>913</v>
      </c>
    </row>
    <row r="1019">
      <c r="A1019" s="13" t="s">
        <v>1560</v>
      </c>
    </row>
    <row r="1020">
      <c r="A1020" s="13" t="s">
        <v>1712</v>
      </c>
    </row>
    <row r="1021">
      <c r="A1021" s="13" t="s">
        <v>1713</v>
      </c>
    </row>
    <row r="1022">
      <c r="A1022" s="13" t="s">
        <v>900</v>
      </c>
    </row>
    <row r="1023">
      <c r="A1023" s="13" t="s">
        <v>1106</v>
      </c>
    </row>
    <row r="1024">
      <c r="A1024" s="13" t="s">
        <v>1106</v>
      </c>
    </row>
    <row r="1025">
      <c r="A1025" s="13" t="s">
        <v>902</v>
      </c>
    </row>
    <row r="1026">
      <c r="A1026" s="13" t="s">
        <v>1428</v>
      </c>
    </row>
    <row r="1027">
      <c r="A1027" s="13" t="s">
        <v>1714</v>
      </c>
    </row>
    <row r="1028">
      <c r="A1028" s="13" t="s">
        <v>1715</v>
      </c>
    </row>
    <row r="1029">
      <c r="A1029" s="13" t="s">
        <v>1716</v>
      </c>
    </row>
    <row r="1030">
      <c r="A1030" s="13" t="s">
        <v>1680</v>
      </c>
    </row>
    <row r="1031">
      <c r="A1031" s="13" t="s">
        <v>1717</v>
      </c>
    </row>
    <row r="1032">
      <c r="A1032" s="13" t="s">
        <v>961</v>
      </c>
    </row>
    <row r="1033">
      <c r="A1033" s="13" t="s">
        <v>1718</v>
      </c>
    </row>
    <row r="1034">
      <c r="A1034" s="13" t="s">
        <v>1719</v>
      </c>
    </row>
    <row r="1035">
      <c r="A1035" s="13" t="s">
        <v>1635</v>
      </c>
    </row>
    <row r="1036">
      <c r="A1036" s="13" t="s">
        <v>903</v>
      </c>
    </row>
    <row r="1037">
      <c r="A1037" s="13" t="s">
        <v>993</v>
      </c>
    </row>
    <row r="1038">
      <c r="A1038" s="13" t="s">
        <v>1720</v>
      </c>
    </row>
    <row r="1039">
      <c r="A1039" s="13" t="s">
        <v>1106</v>
      </c>
    </row>
    <row r="1040">
      <c r="A1040" s="13" t="s">
        <v>935</v>
      </c>
    </row>
    <row r="1041">
      <c r="A1041" s="13" t="s">
        <v>1721</v>
      </c>
    </row>
    <row r="1042">
      <c r="A1042" s="13" t="s">
        <v>1722</v>
      </c>
    </row>
    <row r="1043">
      <c r="A1043" s="13" t="s">
        <v>1723</v>
      </c>
    </row>
    <row r="1044">
      <c r="A1044" s="13" t="s">
        <v>1359</v>
      </c>
    </row>
    <row r="1045">
      <c r="A1045" s="13" t="s">
        <v>1724</v>
      </c>
    </row>
    <row r="1046">
      <c r="A1046" s="13" t="s">
        <v>1725</v>
      </c>
    </row>
    <row r="1047">
      <c r="A1047" s="13" t="s">
        <v>1726</v>
      </c>
    </row>
    <row r="1048">
      <c r="A1048" s="13" t="s">
        <v>1727</v>
      </c>
    </row>
    <row r="1049">
      <c r="A1049" s="13" t="s">
        <v>1728</v>
      </c>
    </row>
    <row r="1050">
      <c r="A1050" s="13" t="s">
        <v>1729</v>
      </c>
    </row>
    <row r="1051">
      <c r="A1051" s="13" t="s">
        <v>1730</v>
      </c>
    </row>
    <row r="1052">
      <c r="A1052" s="13" t="s">
        <v>925</v>
      </c>
    </row>
    <row r="1053">
      <c r="A1053" s="13" t="s">
        <v>1731</v>
      </c>
    </row>
    <row r="1054">
      <c r="A1054" s="13" t="s">
        <v>1732</v>
      </c>
    </row>
    <row r="1055">
      <c r="A1055" s="13" t="s">
        <v>930</v>
      </c>
    </row>
    <row r="1056">
      <c r="A1056" s="13" t="s">
        <v>1733</v>
      </c>
    </row>
    <row r="1057">
      <c r="A1057" s="13" t="s">
        <v>1734</v>
      </c>
    </row>
    <row r="1058">
      <c r="A1058" s="13" t="s">
        <v>1735</v>
      </c>
    </row>
    <row r="1059">
      <c r="A1059" s="13" t="s">
        <v>1736</v>
      </c>
    </row>
    <row r="1060">
      <c r="A1060" s="13" t="s">
        <v>1682</v>
      </c>
    </row>
    <row r="1061">
      <c r="A1061" s="13" t="s">
        <v>1737</v>
      </c>
    </row>
    <row r="1062">
      <c r="A1062" s="13" t="s">
        <v>902</v>
      </c>
    </row>
    <row r="1063">
      <c r="A1063" s="13" t="s">
        <v>1738</v>
      </c>
    </row>
    <row r="1064">
      <c r="A1064" s="13" t="s">
        <v>1382</v>
      </c>
    </row>
    <row r="1065">
      <c r="A1065" s="13" t="s">
        <v>1739</v>
      </c>
    </row>
    <row r="1066">
      <c r="A1066" s="13" t="s">
        <v>904</v>
      </c>
    </row>
    <row r="1067">
      <c r="A1067" s="13" t="s">
        <v>1740</v>
      </c>
    </row>
    <row r="1068">
      <c r="A1068" s="13" t="s">
        <v>1427</v>
      </c>
    </row>
    <row r="1069">
      <c r="A1069" s="13" t="s">
        <v>1302</v>
      </c>
    </row>
    <row r="1070">
      <c r="A1070" s="13" t="s">
        <v>1741</v>
      </c>
    </row>
    <row r="1071">
      <c r="A1071" s="13" t="s">
        <v>1742</v>
      </c>
    </row>
    <row r="1072">
      <c r="A1072" s="13" t="s">
        <v>1743</v>
      </c>
    </row>
    <row r="1073">
      <c r="A1073" s="13" t="s">
        <v>1744</v>
      </c>
    </row>
    <row r="1074">
      <c r="A1074" s="13" t="s">
        <v>1745</v>
      </c>
    </row>
    <row r="1075">
      <c r="A1075" s="13" t="s">
        <v>1746</v>
      </c>
    </row>
    <row r="1076">
      <c r="A1076" s="13" t="s">
        <v>1747</v>
      </c>
    </row>
    <row r="1077">
      <c r="A1077" s="13" t="s">
        <v>1748</v>
      </c>
    </row>
    <row r="1078">
      <c r="A1078" s="13" t="s">
        <v>1508</v>
      </c>
    </row>
    <row r="1079">
      <c r="A1079" s="13" t="s">
        <v>1749</v>
      </c>
    </row>
    <row r="1080">
      <c r="A1080" s="13" t="s">
        <v>1750</v>
      </c>
    </row>
    <row r="1081">
      <c r="A1081" s="13" t="s">
        <v>1751</v>
      </c>
    </row>
    <row r="1082">
      <c r="A1082" s="13" t="s">
        <v>1752</v>
      </c>
    </row>
    <row r="1083">
      <c r="A1083" s="13" t="s">
        <v>1753</v>
      </c>
    </row>
    <row r="1084">
      <c r="A1084" s="13" t="s">
        <v>1754</v>
      </c>
    </row>
    <row r="1085">
      <c r="A1085" s="13" t="s">
        <v>1755</v>
      </c>
    </row>
    <row r="1086">
      <c r="A1086" s="13" t="s">
        <v>1429</v>
      </c>
    </row>
    <row r="1087">
      <c r="A1087" s="13" t="s">
        <v>1756</v>
      </c>
    </row>
    <row r="1088">
      <c r="A1088" s="13" t="s">
        <v>1757</v>
      </c>
    </row>
    <row r="1089">
      <c r="A1089" s="13" t="s">
        <v>1758</v>
      </c>
    </row>
    <row r="1090">
      <c r="A1090" s="13" t="s">
        <v>1759</v>
      </c>
    </row>
    <row r="1091">
      <c r="A1091" s="13" t="s">
        <v>1760</v>
      </c>
    </row>
    <row r="1092">
      <c r="A1092" s="13" t="s">
        <v>1761</v>
      </c>
    </row>
    <row r="1093">
      <c r="A1093" s="13" t="s">
        <v>1762</v>
      </c>
    </row>
    <row r="1094">
      <c r="A1094" s="13" t="s">
        <v>1763</v>
      </c>
    </row>
    <row r="1095">
      <c r="A1095" s="13" t="s">
        <v>1764</v>
      </c>
    </row>
    <row r="1096">
      <c r="A1096" s="13" t="s">
        <v>1765</v>
      </c>
    </row>
    <row r="1097">
      <c r="A1097" s="13" t="s">
        <v>1680</v>
      </c>
    </row>
    <row r="1098">
      <c r="A1098" s="13" t="s">
        <v>1109</v>
      </c>
    </row>
    <row r="1099">
      <c r="A1099" s="13" t="s">
        <v>1766</v>
      </c>
    </row>
    <row r="1100">
      <c r="A1100" s="13" t="s">
        <v>1767</v>
      </c>
    </row>
    <row r="1101">
      <c r="A1101" s="13" t="s">
        <v>1768</v>
      </c>
    </row>
    <row r="1102">
      <c r="A1102" s="13" t="s">
        <v>1769</v>
      </c>
    </row>
    <row r="1103">
      <c r="A1103" s="13" t="s">
        <v>1770</v>
      </c>
    </row>
    <row r="1104">
      <c r="A1104" s="13" t="s">
        <v>1771</v>
      </c>
    </row>
    <row r="1105">
      <c r="A1105" s="13" t="s">
        <v>1772</v>
      </c>
    </row>
    <row r="1106">
      <c r="A1106" s="13" t="s">
        <v>1773</v>
      </c>
    </row>
    <row r="1107">
      <c r="A1107" s="13" t="s">
        <v>1774</v>
      </c>
    </row>
    <row r="1108">
      <c r="A1108" s="13" t="s">
        <v>1775</v>
      </c>
    </row>
    <row r="1109">
      <c r="A1109" s="13" t="s">
        <v>1240</v>
      </c>
    </row>
    <row r="1110">
      <c r="A1110" s="13" t="s">
        <v>933</v>
      </c>
    </row>
    <row r="1111">
      <c r="A1111" s="13" t="s">
        <v>1776</v>
      </c>
    </row>
    <row r="1112">
      <c r="A1112" s="13" t="s">
        <v>1243</v>
      </c>
    </row>
    <row r="1113">
      <c r="A1113" s="13" t="s">
        <v>927</v>
      </c>
    </row>
    <row r="1114">
      <c r="A1114" s="13" t="s">
        <v>1777</v>
      </c>
    </row>
    <row r="1115">
      <c r="A1115" s="13" t="s">
        <v>1778</v>
      </c>
    </row>
    <row r="1116">
      <c r="A1116" s="13" t="s">
        <v>1779</v>
      </c>
    </row>
    <row r="1117">
      <c r="A1117" s="13" t="s">
        <v>1780</v>
      </c>
    </row>
    <row r="1118">
      <c r="A1118" s="13" t="s">
        <v>1781</v>
      </c>
    </row>
    <row r="1119">
      <c r="A1119" s="13" t="s">
        <v>1782</v>
      </c>
    </row>
    <row r="1120">
      <c r="A1120" s="13" t="s">
        <v>1783</v>
      </c>
    </row>
    <row r="1121">
      <c r="A1121" s="13" t="s">
        <v>1784</v>
      </c>
    </row>
    <row r="1122">
      <c r="A1122" s="13" t="s">
        <v>987</v>
      </c>
    </row>
    <row r="1123">
      <c r="A1123" s="13" t="s">
        <v>1785</v>
      </c>
    </row>
    <row r="1124">
      <c r="A1124" s="13" t="s">
        <v>1786</v>
      </c>
    </row>
    <row r="1125">
      <c r="A1125" s="13" t="s">
        <v>1787</v>
      </c>
    </row>
    <row r="1126">
      <c r="A1126" s="13" t="s">
        <v>1788</v>
      </c>
    </row>
    <row r="1127">
      <c r="A1127" s="13" t="s">
        <v>1789</v>
      </c>
    </row>
    <row r="1128">
      <c r="A1128" s="13" t="s">
        <v>1790</v>
      </c>
    </row>
    <row r="1129">
      <c r="A1129" s="13" t="s">
        <v>1791</v>
      </c>
    </row>
    <row r="1130">
      <c r="A1130" s="13" t="s">
        <v>1792</v>
      </c>
    </row>
    <row r="1131">
      <c r="A1131" s="13" t="s">
        <v>1793</v>
      </c>
    </row>
    <row r="1132">
      <c r="A1132" s="13" t="s">
        <v>1794</v>
      </c>
    </row>
    <row r="1133">
      <c r="A1133" s="13" t="s">
        <v>1795</v>
      </c>
    </row>
    <row r="1134">
      <c r="A1134" s="13" t="s">
        <v>1796</v>
      </c>
    </row>
    <row r="1135">
      <c r="A1135" s="13" t="s">
        <v>1797</v>
      </c>
    </row>
    <row r="1136">
      <c r="A1136" s="13" t="s">
        <v>1798</v>
      </c>
    </row>
    <row r="1137">
      <c r="A1137" s="13" t="s">
        <v>1799</v>
      </c>
    </row>
    <row r="1138">
      <c r="A1138" s="13" t="s">
        <v>1800</v>
      </c>
    </row>
    <row r="1139">
      <c r="A1139" s="13" t="s">
        <v>1801</v>
      </c>
    </row>
    <row r="1140">
      <c r="A1140" s="13" t="s">
        <v>1802</v>
      </c>
    </row>
    <row r="1141">
      <c r="A1141" s="13" t="s">
        <v>1803</v>
      </c>
    </row>
    <row r="1142">
      <c r="A1142" s="13" t="s">
        <v>1804</v>
      </c>
    </row>
    <row r="1143">
      <c r="A1143" s="13" t="s">
        <v>1805</v>
      </c>
    </row>
    <row r="1144">
      <c r="A1144" s="13" t="s">
        <v>1806</v>
      </c>
    </row>
    <row r="1145">
      <c r="A1145" s="13" t="s">
        <v>961</v>
      </c>
    </row>
    <row r="1146">
      <c r="A1146" s="13" t="s">
        <v>1635</v>
      </c>
    </row>
    <row r="1147">
      <c r="A1147" s="13" t="s">
        <v>952</v>
      </c>
    </row>
    <row r="1148">
      <c r="A1148" s="13" t="s">
        <v>1807</v>
      </c>
    </row>
    <row r="1149">
      <c r="A1149" s="13" t="s">
        <v>1808</v>
      </c>
    </row>
    <row r="1150">
      <c r="A1150" s="13" t="s">
        <v>1809</v>
      </c>
    </row>
    <row r="1151">
      <c r="A1151" s="13" t="s">
        <v>1810</v>
      </c>
    </row>
    <row r="1152">
      <c r="A1152" s="13" t="s">
        <v>1811</v>
      </c>
    </row>
    <row r="1153">
      <c r="A1153" s="13" t="s">
        <v>1812</v>
      </c>
    </row>
    <row r="1154">
      <c r="A1154" s="13" t="s">
        <v>1813</v>
      </c>
    </row>
    <row r="1155">
      <c r="A1155" s="13" t="s">
        <v>1814</v>
      </c>
    </row>
    <row r="1156">
      <c r="A1156" s="13" t="s">
        <v>1815</v>
      </c>
    </row>
    <row r="1157">
      <c r="A1157" s="13" t="s">
        <v>1816</v>
      </c>
    </row>
    <row r="1158">
      <c r="A1158" s="13" t="s">
        <v>1817</v>
      </c>
    </row>
    <row r="1159">
      <c r="A1159" s="13" t="s">
        <v>933</v>
      </c>
    </row>
    <row r="1160">
      <c r="A1160" s="13" t="s">
        <v>1240</v>
      </c>
    </row>
    <row r="1161">
      <c r="A1161" s="13" t="s">
        <v>1818</v>
      </c>
    </row>
    <row r="1162">
      <c r="A1162" s="13" t="s">
        <v>1819</v>
      </c>
    </row>
    <row r="1163">
      <c r="A1163" s="13" t="s">
        <v>1820</v>
      </c>
    </row>
    <row r="1164">
      <c r="A1164" s="13" t="s">
        <v>1821</v>
      </c>
    </row>
    <row r="1165">
      <c r="A1165" s="13" t="s">
        <v>1822</v>
      </c>
    </row>
    <row r="1166">
      <c r="A1166" s="13" t="s">
        <v>1823</v>
      </c>
    </row>
    <row r="1167">
      <c r="A1167" s="13" t="s">
        <v>1824</v>
      </c>
    </row>
    <row r="1168">
      <c r="A1168" s="13" t="s">
        <v>1825</v>
      </c>
    </row>
    <row r="1169">
      <c r="A1169" s="13" t="s">
        <v>1826</v>
      </c>
    </row>
    <row r="1170">
      <c r="A1170" s="13" t="s">
        <v>1827</v>
      </c>
    </row>
    <row r="1171">
      <c r="A1171" s="13" t="s">
        <v>1655</v>
      </c>
    </row>
    <row r="1172">
      <c r="A1172" s="13" t="s">
        <v>1828</v>
      </c>
    </row>
    <row r="1173">
      <c r="A1173" s="13" t="s">
        <v>1829</v>
      </c>
    </row>
    <row r="1174">
      <c r="A1174" s="13" t="s">
        <v>1639</v>
      </c>
    </row>
    <row r="1175">
      <c r="A1175" s="13" t="s">
        <v>1011</v>
      </c>
    </row>
    <row r="1176">
      <c r="A1176" s="13" t="s">
        <v>1830</v>
      </c>
    </row>
    <row r="1177">
      <c r="A1177" s="13" t="s">
        <v>1831</v>
      </c>
    </row>
    <row r="1178">
      <c r="A1178" s="13" t="s">
        <v>1832</v>
      </c>
    </row>
    <row r="1179">
      <c r="A1179" s="13" t="s">
        <v>1833</v>
      </c>
    </row>
    <row r="1180">
      <c r="A1180" s="13" t="s">
        <v>1834</v>
      </c>
    </row>
    <row r="1181">
      <c r="A1181" s="13" t="s">
        <v>1835</v>
      </c>
    </row>
    <row r="1182">
      <c r="A1182" s="13" t="s">
        <v>1560</v>
      </c>
    </row>
    <row r="1183">
      <c r="A1183" s="13" t="s">
        <v>1836</v>
      </c>
    </row>
    <row r="1184">
      <c r="A1184" s="13" t="s">
        <v>948</v>
      </c>
    </row>
    <row r="1185">
      <c r="A1185" s="13" t="s">
        <v>1837</v>
      </c>
    </row>
    <row r="1186">
      <c r="A1186" s="13" t="s">
        <v>1838</v>
      </c>
    </row>
    <row r="1187">
      <c r="A1187" s="13" t="s">
        <v>1839</v>
      </c>
    </row>
    <row r="1188">
      <c r="A1188" s="13" t="s">
        <v>1840</v>
      </c>
    </row>
    <row r="1189">
      <c r="A1189" s="13" t="s">
        <v>1841</v>
      </c>
    </row>
    <row r="1190">
      <c r="A1190" s="13" t="s">
        <v>1842</v>
      </c>
    </row>
    <row r="1191">
      <c r="A1191" s="13" t="s">
        <v>1843</v>
      </c>
    </row>
    <row r="1192">
      <c r="A1192" s="13" t="s">
        <v>1844</v>
      </c>
    </row>
    <row r="1193">
      <c r="A1193" s="13" t="s">
        <v>1845</v>
      </c>
    </row>
    <row r="1194">
      <c r="A1194" s="13" t="s">
        <v>1168</v>
      </c>
    </row>
    <row r="1195">
      <c r="A1195" s="13" t="s">
        <v>1846</v>
      </c>
    </row>
    <row r="1196">
      <c r="A1196" s="13" t="s">
        <v>1847</v>
      </c>
    </row>
    <row r="1197">
      <c r="A1197" s="13" t="s">
        <v>1848</v>
      </c>
    </row>
    <row r="1198">
      <c r="A1198" s="13" t="s">
        <v>1849</v>
      </c>
    </row>
    <row r="1199">
      <c r="A1199" s="13" t="s">
        <v>1560</v>
      </c>
    </row>
    <row r="1200">
      <c r="A1200" s="13" t="s">
        <v>1561</v>
      </c>
    </row>
    <row r="1201">
      <c r="A1201" s="13" t="s">
        <v>1850</v>
      </c>
    </row>
    <row r="1202">
      <c r="A1202" s="13" t="s">
        <v>1851</v>
      </c>
    </row>
    <row r="1203">
      <c r="A1203" s="13" t="s">
        <v>1852</v>
      </c>
    </row>
    <row r="1204">
      <c r="A1204" s="13" t="s">
        <v>1853</v>
      </c>
    </row>
    <row r="1205">
      <c r="A1205" s="13" t="s">
        <v>1854</v>
      </c>
    </row>
    <row r="1206">
      <c r="A1206" s="13" t="s">
        <v>1855</v>
      </c>
    </row>
    <row r="1207">
      <c r="A1207" s="13" t="s">
        <v>1856</v>
      </c>
    </row>
    <row r="1208">
      <c r="A1208" s="13" t="s">
        <v>1857</v>
      </c>
    </row>
    <row r="1209">
      <c r="A1209" s="13" t="s">
        <v>1858</v>
      </c>
    </row>
    <row r="1210">
      <c r="A1210" s="13" t="s">
        <v>1859</v>
      </c>
    </row>
    <row r="1211">
      <c r="A1211" s="13" t="s">
        <v>1860</v>
      </c>
    </row>
    <row r="1212">
      <c r="A1212" s="13" t="s">
        <v>1861</v>
      </c>
    </row>
    <row r="1213">
      <c r="A1213" s="13" t="s">
        <v>1862</v>
      </c>
    </row>
    <row r="1214">
      <c r="A1214" s="13" t="s">
        <v>1863</v>
      </c>
    </row>
    <row r="1215">
      <c r="A1215" s="13" t="s">
        <v>1844</v>
      </c>
    </row>
    <row r="1216">
      <c r="A1216" s="13" t="s">
        <v>1864</v>
      </c>
    </row>
    <row r="1217">
      <c r="A1217" s="13" t="s">
        <v>1062</v>
      </c>
    </row>
    <row r="1218">
      <c r="A1218" s="13" t="s">
        <v>1865</v>
      </c>
    </row>
    <row r="1219">
      <c r="A1219" s="13" t="s">
        <v>1866</v>
      </c>
    </row>
    <row r="1220">
      <c r="A1220" s="13" t="s">
        <v>1867</v>
      </c>
    </row>
    <row r="1221">
      <c r="A1221" s="13" t="s">
        <v>1868</v>
      </c>
    </row>
    <row r="1222">
      <c r="A1222" s="13" t="s">
        <v>1869</v>
      </c>
    </row>
    <row r="1223">
      <c r="A1223" s="13" t="s">
        <v>1495</v>
      </c>
    </row>
    <row r="1224">
      <c r="A1224" s="13" t="s">
        <v>907</v>
      </c>
    </row>
    <row r="1225">
      <c r="A1225" s="13" t="s">
        <v>1870</v>
      </c>
    </row>
    <row r="1226">
      <c r="A1226" s="13" t="s">
        <v>1491</v>
      </c>
    </row>
    <row r="1227">
      <c r="A1227" s="13" t="s">
        <v>1849</v>
      </c>
    </row>
    <row r="1228">
      <c r="A1228" s="13" t="s">
        <v>1009</v>
      </c>
    </row>
    <row r="1229">
      <c r="A1229" s="13" t="s">
        <v>1871</v>
      </c>
    </row>
    <row r="1230">
      <c r="A1230" s="13" t="s">
        <v>1872</v>
      </c>
    </row>
    <row r="1231">
      <c r="A1231" s="13" t="s">
        <v>1873</v>
      </c>
    </row>
    <row r="1232">
      <c r="A1232" s="13" t="s">
        <v>1874</v>
      </c>
    </row>
    <row r="1233">
      <c r="A1233" s="13" t="s">
        <v>961</v>
      </c>
    </row>
    <row r="1234">
      <c r="A1234" s="13" t="s">
        <v>1631</v>
      </c>
    </row>
    <row r="1235">
      <c r="A1235" s="13" t="s">
        <v>1305</v>
      </c>
    </row>
    <row r="1236">
      <c r="A1236" s="13" t="s">
        <v>1875</v>
      </c>
    </row>
    <row r="1237">
      <c r="A1237" s="13" t="s">
        <v>1876</v>
      </c>
    </row>
    <row r="1238">
      <c r="A1238" s="13" t="s">
        <v>1877</v>
      </c>
    </row>
    <row r="1239">
      <c r="A1239" s="13" t="s">
        <v>1878</v>
      </c>
    </row>
    <row r="1240">
      <c r="A1240" s="13" t="s">
        <v>1879</v>
      </c>
    </row>
    <row r="1241">
      <c r="A1241" s="13" t="s">
        <v>958</v>
      </c>
    </row>
    <row r="1242">
      <c r="A1242" s="13" t="s">
        <v>1880</v>
      </c>
    </row>
    <row r="1243">
      <c r="A1243" s="13" t="s">
        <v>1881</v>
      </c>
    </row>
    <row r="1244">
      <c r="A1244" s="13" t="s">
        <v>953</v>
      </c>
    </row>
    <row r="1245">
      <c r="A1245" s="13" t="s">
        <v>930</v>
      </c>
    </row>
    <row r="1246">
      <c r="A1246" s="13" t="s">
        <v>1882</v>
      </c>
    </row>
    <row r="1247">
      <c r="A1247" s="13" t="s">
        <v>1516</v>
      </c>
    </row>
    <row r="1248">
      <c r="A1248" s="13" t="s">
        <v>1883</v>
      </c>
    </row>
    <row r="1249">
      <c r="A1249" s="13" t="s">
        <v>1655</v>
      </c>
    </row>
    <row r="1250">
      <c r="A1250" s="13" t="s">
        <v>1106</v>
      </c>
    </row>
    <row r="1251">
      <c r="A1251" s="13" t="s">
        <v>1884</v>
      </c>
    </row>
    <row r="1252">
      <c r="A1252" s="13" t="s">
        <v>1885</v>
      </c>
    </row>
    <row r="1253">
      <c r="A1253" s="13" t="s">
        <v>1886</v>
      </c>
    </row>
    <row r="1254">
      <c r="A1254" s="13" t="s">
        <v>1887</v>
      </c>
    </row>
    <row r="1255">
      <c r="A1255" s="13" t="s">
        <v>935</v>
      </c>
    </row>
    <row r="1256">
      <c r="A1256" s="13" t="s">
        <v>1888</v>
      </c>
    </row>
    <row r="1257">
      <c r="A1257" s="13" t="s">
        <v>1889</v>
      </c>
    </row>
    <row r="1258">
      <c r="A1258" s="13" t="s">
        <v>961</v>
      </c>
    </row>
    <row r="1259">
      <c r="A1259" s="13" t="s">
        <v>933</v>
      </c>
    </row>
    <row r="1260">
      <c r="A1260" s="13" t="s">
        <v>933</v>
      </c>
    </row>
    <row r="1261">
      <c r="A1261" s="13" t="s">
        <v>1669</v>
      </c>
    </row>
    <row r="1262">
      <c r="A1262" s="13" t="s">
        <v>1890</v>
      </c>
    </row>
    <row r="1263">
      <c r="A1263" s="13" t="s">
        <v>1076</v>
      </c>
    </row>
    <row r="1264">
      <c r="A1264" s="13" t="s">
        <v>1891</v>
      </c>
    </row>
    <row r="1265">
      <c r="A1265" s="13" t="s">
        <v>1892</v>
      </c>
    </row>
    <row r="1266">
      <c r="A1266" s="13" t="s">
        <v>1717</v>
      </c>
    </row>
    <row r="1267">
      <c r="A1267" s="13" t="s">
        <v>1893</v>
      </c>
    </row>
    <row r="1268">
      <c r="A1268" s="13" t="s">
        <v>1894</v>
      </c>
    </row>
    <row r="1269">
      <c r="A1269" s="13" t="s">
        <v>1754</v>
      </c>
    </row>
    <row r="1270">
      <c r="A1270" s="13" t="s">
        <v>1029</v>
      </c>
    </row>
  </sheetData>
  <drawing r:id="rId1"/>
</worksheet>
</file>